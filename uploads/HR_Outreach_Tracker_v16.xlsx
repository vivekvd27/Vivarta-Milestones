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iratsoni/Library/CloudStorage/Box-Box/EDII_Business_Initiatives/03.VIVARTAM Tech/Network/"/>
    </mc:Choice>
  </mc:AlternateContent>
  <xr:revisionPtr revIDLastSave="0" documentId="13_ncr:1_{513D7F10-0C03-3C4A-ABD5-FB138783C3A6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Contact Tracker" sheetId="1" r:id="rId1"/>
    <sheet name="Network Bridge" sheetId="2" r:id="rId2"/>
    <sheet name="MOM Repository" sheetId="3" r:id="rId3"/>
    <sheet name="Feedback Categorization" sheetId="4" r:id="rId4"/>
    <sheet name="Dashboard" sheetId="5" r:id="rId5"/>
    <sheet name="Targets to Networks" sheetId="6" r:id="rId6"/>
  </sheets>
  <definedNames>
    <definedName name="_xlnm._FilterDatabase" localSheetId="0" hidden="1">'Contact Tracker'!$A$2:$X$206</definedName>
    <definedName name="_xlnm._FilterDatabase" localSheetId="3" hidden="1">'Feedback Categorization'!$A$2:$F$7</definedName>
    <definedName name="_xlnm._FilterDatabase" localSheetId="2" hidden="1">'MOM Repository'!$A$2:$H$4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5" l="1"/>
  <c r="B16" i="5"/>
  <c r="H15" i="5"/>
  <c r="B15" i="5"/>
  <c r="H14" i="5"/>
  <c r="B14" i="5"/>
  <c r="H13" i="5"/>
  <c r="E13" i="5"/>
  <c r="B13" i="5"/>
  <c r="H12" i="5"/>
  <c r="E12" i="5"/>
  <c r="B12" i="5"/>
  <c r="H11" i="5"/>
  <c r="E11" i="5"/>
  <c r="B11" i="5"/>
  <c r="H10" i="5"/>
  <c r="E10" i="5"/>
  <c r="B10" i="5"/>
  <c r="H9" i="5"/>
  <c r="E9" i="5"/>
  <c r="B9" i="5"/>
  <c r="J4" i="5"/>
  <c r="G4" i="5"/>
  <c r="D4" i="5"/>
  <c r="A4" i="5"/>
</calcChain>
</file>

<file path=xl/sharedStrings.xml><?xml version="1.0" encoding="utf-8"?>
<sst xmlns="http://schemas.openxmlformats.org/spreadsheetml/2006/main" count="671" uniqueCount="429">
  <si>
    <t>HR Leader Contact Tracker</t>
  </si>
  <si>
    <t>Meeting
Date</t>
  </si>
  <si>
    <t>Meeting
Status</t>
  </si>
  <si>
    <t>Meeting
Type</t>
  </si>
  <si>
    <t>Contact
ID</t>
  </si>
  <si>
    <t>Name of Contact</t>
  </si>
  <si>
    <t>Designation</t>
  </si>
  <si>
    <t>Company Name</t>
  </si>
  <si>
    <t>Industry</t>
  </si>
  <si>
    <t>Location</t>
  </si>
  <si>
    <t>Contact Source</t>
  </si>
  <si>
    <t>Email</t>
  </si>
  <si>
    <t>Phone Number</t>
  </si>
  <si>
    <t>LinkedIn Profile</t>
  </si>
  <si>
    <t>Meeting Summary</t>
  </si>
  <si>
    <t>Detailed MOM
(Ref/Link)</t>
  </si>
  <si>
    <t>Key Pain Points
Identified</t>
  </si>
  <si>
    <t>Opportunities
Identified</t>
  </si>
  <si>
    <t>Interest
Level</t>
  </si>
  <si>
    <t>Relationship
Status</t>
  </si>
  <si>
    <t>Next Follow-up
Date</t>
  </si>
  <si>
    <t>Follow-up
Status</t>
  </si>
  <si>
    <t>Date of
First Contact</t>
  </si>
  <si>
    <t>Last Interaction
Date</t>
  </si>
  <si>
    <t>Remarks</t>
  </si>
  <si>
    <t>Completed</t>
  </si>
  <si>
    <t>CHR-001</t>
  </si>
  <si>
    <t>Swati Joshi</t>
  </si>
  <si>
    <t>HR Recruiter / HR Professional</t>
  </si>
  <si>
    <t>Brand Connections</t>
  </si>
  <si>
    <t>HR / Recruitment</t>
  </si>
  <si>
    <t>Ahmedabad</t>
  </si>
  <si>
    <t>https://www.linkedin.com/in/joshi-swati/</t>
  </si>
  <si>
    <t>High</t>
  </si>
  <si>
    <t>New</t>
  </si>
  <si>
    <t>Pending</t>
  </si>
  <si>
    <t>Online</t>
  </si>
  <si>
    <t>CHR-002</t>
  </si>
  <si>
    <t>Archit Patel</t>
  </si>
  <si>
    <t>CHRO and Head</t>
  </si>
  <si>
    <t>Meghmani LLP</t>
  </si>
  <si>
    <t>Pharma</t>
  </si>
  <si>
    <t>EDII</t>
  </si>
  <si>
    <t xml:space="preserve">Archit.dhara.patel@gmail.com </t>
  </si>
  <si>
    <t>linkedin.com/in/archit-b-patel</t>
  </si>
  <si>
    <t>Medium</t>
  </si>
  <si>
    <t>CHR-003</t>
  </si>
  <si>
    <t>Amit Gadhvi</t>
  </si>
  <si>
    <t>Unknown</t>
  </si>
  <si>
    <t>Pharma and tech</t>
  </si>
  <si>
    <t>gadhavi.amit@gmail.com</t>
  </si>
  <si>
    <t>In-person</t>
  </si>
  <si>
    <t>CHR-004</t>
  </si>
  <si>
    <t>Leena Lopez</t>
  </si>
  <si>
    <t>Vice President – Strategy &amp; Human Resources</t>
  </si>
  <si>
    <t>Knowcraft Analytics</t>
  </si>
  <si>
    <t>Analytics / Data</t>
  </si>
  <si>
    <t>Referral (Furkan Sir)</t>
  </si>
  <si>
    <t>+91 9712972477</t>
  </si>
  <si>
    <t>https://www.linkedin.com/in/leenaantony/</t>
  </si>
  <si>
    <t>Done</t>
  </si>
  <si>
    <t>Referred by Furkan Sir</t>
  </si>
  <si>
    <t>CHR-005</t>
  </si>
  <si>
    <t>Kunal Naik</t>
  </si>
  <si>
    <t>Director</t>
  </si>
  <si>
    <t>Managing Director at Technomine group</t>
  </si>
  <si>
    <t>Referral (Rohan Shah)</t>
  </si>
  <si>
    <t>+91 9925149599</t>
  </si>
  <si>
    <t>https://www.linkedin.com/in/kunal-mehta-9071911/</t>
  </si>
  <si>
    <t>Referred by Rohan Shah</t>
  </si>
  <si>
    <t>CHR-006</t>
  </si>
  <si>
    <t>Hemang Desai</t>
  </si>
  <si>
    <t>CHRO</t>
  </si>
  <si>
    <t>Ishan Technologies</t>
  </si>
  <si>
    <t>IT / Telecom / Networking</t>
  </si>
  <si>
    <t>Gandhinagar</t>
  </si>
  <si>
    <t>https://www.linkedin.com/in/hemang-desai-for-organisational-transformation/</t>
  </si>
  <si>
    <t>CHR-007</t>
  </si>
  <si>
    <t>Mitali Saxena</t>
  </si>
  <si>
    <t>HR Manager – Factory HR</t>
  </si>
  <si>
    <t>CET Enviro – Cooling Efficiency Technologies</t>
  </si>
  <si>
    <t>Manufacturing / Engineering</t>
  </si>
  <si>
    <t>Anurag Dagur</t>
  </si>
  <si>
    <t>https://www.linkedin.com/in/meetali-saxena-13624b55/</t>
  </si>
  <si>
    <t>CHR-008</t>
  </si>
  <si>
    <t>Rushad Shah</t>
  </si>
  <si>
    <t>AVP HR</t>
  </si>
  <si>
    <t>Cygnet.one</t>
  </si>
  <si>
    <t>Software development</t>
  </si>
  <si>
    <t>Referral (Leena Lopez)</t>
  </si>
  <si>
    <t>+91 9099048431</t>
  </si>
  <si>
    <t>linkedin.com/in/rushad-shah-b8584114</t>
  </si>
  <si>
    <t>Referred by Leena Lopez</t>
  </si>
  <si>
    <t>CHR-009</t>
  </si>
  <si>
    <t>Darshit Thakkar</t>
  </si>
  <si>
    <t>Pravin bhai</t>
  </si>
  <si>
    <t>Zoom</t>
  </si>
  <si>
    <t>CHR-010</t>
  </si>
  <si>
    <t>Jay Thakker</t>
  </si>
  <si>
    <t>HR Leader</t>
  </si>
  <si>
    <t xml:space="preserve"> A.P. Moller - Maersk</t>
  </si>
  <si>
    <t>Shipping / Logistics</t>
  </si>
  <si>
    <t>Singapore</t>
  </si>
  <si>
    <t>Vivek Dagur</t>
  </si>
  <si>
    <t>thakerjay@hotmail.com</t>
  </si>
  <si>
    <t>linkedin.com/in/jay-thaker-8b209611</t>
  </si>
  <si>
    <t>CHR-011</t>
  </si>
  <si>
    <t>Preksha Pandhya</t>
  </si>
  <si>
    <t>HR &amp; OD Consultant / CEO</t>
  </si>
  <si>
    <t>Kartavya HR Consultants</t>
  </si>
  <si>
    <t>HR Consulting / OD</t>
  </si>
  <si>
    <t>Vadodara</t>
  </si>
  <si>
    <t>linkedin.com/in/preksha-pandya</t>
  </si>
  <si>
    <t>CHR-012</t>
  </si>
  <si>
    <t xml:space="preserve">Prof Harshmita </t>
  </si>
  <si>
    <t>EDII – Entrepreneurship Development Institute of India</t>
  </si>
  <si>
    <t>Education / Academia</t>
  </si>
  <si>
    <t>CHR-013</t>
  </si>
  <si>
    <t>Bharat Kishnani</t>
  </si>
  <si>
    <t>Adani Group</t>
  </si>
  <si>
    <t>Conglomerate / Infrastructure</t>
  </si>
  <si>
    <t>linkedin.com/in/bharat-kishnani-210a5150</t>
  </si>
  <si>
    <t>CHR-014</t>
  </si>
  <si>
    <t>Rohit Swarup</t>
  </si>
  <si>
    <t>Founder &amp; MD</t>
  </si>
  <si>
    <t>Designversity &amp; Explorra Education Pvt Ltd</t>
  </si>
  <si>
    <t>Education / EdTech</t>
  </si>
  <si>
    <t>linkedin.com/in/rohit-swarup-xdsindia</t>
  </si>
  <si>
    <t>online</t>
  </si>
  <si>
    <t>CHR-015</t>
  </si>
  <si>
    <t>Richa Patel</t>
  </si>
  <si>
    <t xml:space="preserve">Circle Head HR </t>
  </si>
  <si>
    <t>Indus Towers</t>
  </si>
  <si>
    <t>Telecom Infrastructure</t>
  </si>
  <si>
    <t>Sanjay Rao</t>
  </si>
  <si>
    <t>linkedin.com/in/richa-patel-83b8921a</t>
  </si>
  <si>
    <t>CHR-016</t>
  </si>
  <si>
    <t>Jenny Benoy</t>
  </si>
  <si>
    <t>AVP - HR</t>
  </si>
  <si>
    <t>Etech India</t>
  </si>
  <si>
    <t>IT / BPO</t>
  </si>
  <si>
    <t>linkedin.com/in/jennybenoy</t>
  </si>
  <si>
    <t>In person</t>
  </si>
  <si>
    <t>CHR-017</t>
  </si>
  <si>
    <t>Sarika Bhatt</t>
  </si>
  <si>
    <t>Strategic HR professional</t>
  </si>
  <si>
    <t>Novasol Ingredients Pvt. Ltd</t>
  </si>
  <si>
    <t>Specialty Chemicals / Manufacturing</t>
  </si>
  <si>
    <t>linkedin.com/in/sarika-bhatt-78170b22</t>
  </si>
  <si>
    <t>CHR-018</t>
  </si>
  <si>
    <t>Chainsingh Rathod</t>
  </si>
  <si>
    <t>Vice President - Talent Acquisition &amp; Operations- Hiring Top Talent Across the Globe</t>
  </si>
  <si>
    <t>Gateway Group of Companies</t>
  </si>
  <si>
    <t>Diversified / Conglomerate</t>
  </si>
  <si>
    <t>linkedin.com/in/chainsingh-rathore-56676035</t>
  </si>
  <si>
    <t>▼  NOT YET MET</t>
  </si>
  <si>
    <t>CHR-019</t>
  </si>
  <si>
    <t>Dr. Parag Bhatt</t>
  </si>
  <si>
    <t>Zydus hospitals</t>
  </si>
  <si>
    <t>+91 7506034440</t>
  </si>
  <si>
    <t>https://www.linkedin.com/in/paragbhatt/</t>
  </si>
  <si>
    <t>CHR-020</t>
  </si>
  <si>
    <t xml:space="preserve">Garima Sharma </t>
  </si>
  <si>
    <t>sharmagarima03@gmail.com</t>
  </si>
  <si>
    <t>https://www.linkedin.com/in/hetakshi-shah-672711171/</t>
  </si>
  <si>
    <t>CHR-021</t>
  </si>
  <si>
    <t>Hetakshi</t>
  </si>
  <si>
    <t>HR Junior Executive</t>
  </si>
  <si>
    <t>Torrent Power Limited</t>
  </si>
  <si>
    <t>Power / Energy / Utilities</t>
  </si>
  <si>
    <t>linkedin.com/in/hetakshi-shah-672711171</t>
  </si>
  <si>
    <t>CHR-022</t>
  </si>
  <si>
    <t>Jeel</t>
  </si>
  <si>
    <t>Hardi</t>
  </si>
  <si>
    <t>linkedin.com/in/jeel-bosamiya-105252130</t>
  </si>
  <si>
    <t>CHR-023</t>
  </si>
  <si>
    <t>Ashok</t>
  </si>
  <si>
    <t>CHR-024</t>
  </si>
  <si>
    <t>Iota</t>
  </si>
  <si>
    <t>CHR-025</t>
  </si>
  <si>
    <t>Furkan</t>
  </si>
  <si>
    <t>CHR-026</t>
  </si>
  <si>
    <t>Sarika</t>
  </si>
  <si>
    <t>CHR-027</t>
  </si>
  <si>
    <t>Priti Bhame</t>
  </si>
  <si>
    <t>Pune</t>
  </si>
  <si>
    <t>CHR-028</t>
  </si>
  <si>
    <t>Anant Panchal</t>
  </si>
  <si>
    <t>panchal.anant1@gmail.com</t>
  </si>
  <si>
    <t>Not Set</t>
  </si>
  <si>
    <t>CHR-029</t>
  </si>
  <si>
    <t>Dhara Shah</t>
  </si>
  <si>
    <t>Deloitte</t>
  </si>
  <si>
    <t>Professional Services / Consulting</t>
  </si>
  <si>
    <t>Mumbai</t>
  </si>
  <si>
    <t>linkedin.com/in/dhararshah</t>
  </si>
  <si>
    <t>CHR-030</t>
  </si>
  <si>
    <t>Alpa Bhatt</t>
  </si>
  <si>
    <t>IT / Telecom</t>
  </si>
  <si>
    <t>linkedin.com/in/alpa-bhatt</t>
  </si>
  <si>
    <t>None</t>
  </si>
  <si>
    <t>CHR-031</t>
  </si>
  <si>
    <t>Anuja Kochhar</t>
  </si>
  <si>
    <t>linkedin.com/in/anuja-rishi-kochhar-69a079b7</t>
  </si>
  <si>
    <t>CHR-032</t>
  </si>
  <si>
    <t>Deepti Arora</t>
  </si>
  <si>
    <t>linkedin.com/in/deepti-arora-79568a3</t>
  </si>
  <si>
    <t>CHR-033</t>
  </si>
  <si>
    <t>Devang pandya</t>
  </si>
  <si>
    <t>linkedin.com/in/devangpandya</t>
  </si>
  <si>
    <t>CHR-034</t>
  </si>
  <si>
    <t>Viral Mankodi</t>
  </si>
  <si>
    <t>viral.mankodi@hotmail.com</t>
  </si>
  <si>
    <t>linkedin.com/in/viral-mankodi-6642a06</t>
  </si>
  <si>
    <t>CHR-035</t>
  </si>
  <si>
    <t>Vishwas Vora</t>
  </si>
  <si>
    <t>linkedin.com/in/vishwas-vora-2387b42</t>
  </si>
  <si>
    <t>CHR-036</t>
  </si>
  <si>
    <t>Mohit Gupta</t>
  </si>
  <si>
    <t>CHR-037</t>
  </si>
  <si>
    <t>Rahul Pandey</t>
  </si>
  <si>
    <t>Krishnan Mishra</t>
  </si>
  <si>
    <t>CHR-038</t>
  </si>
  <si>
    <t>Sanjay Rao Sir</t>
  </si>
  <si>
    <t>CHR-039</t>
  </si>
  <si>
    <t>Bhavin Bhatt</t>
  </si>
  <si>
    <t>Nikhil Trivedi</t>
  </si>
  <si>
    <t>bhavin.bhatt@ltts.com</t>
  </si>
  <si>
    <t>CHR-040</t>
  </si>
  <si>
    <t>Vivek Tripathi</t>
  </si>
  <si>
    <t>Network Bridge – Connectors for HR Contact Discovery</t>
  </si>
  <si>
    <t>People in our network who can refer / share contact details of target HRs — e.g., Anurag Dagur and similar connectors</t>
  </si>
  <si>
    <t>Net ID</t>
  </si>
  <si>
    <t>Connector Name</t>
  </si>
  <si>
    <t>Company</t>
  </si>
  <si>
    <t>Our Relationship</t>
  </si>
  <si>
    <t>Target HR to Reach</t>
  </si>
  <si>
    <t>Target Company</t>
  </si>
  <si>
    <t>Outreach Method</t>
  </si>
  <si>
    <t>Date of Outreach</t>
  </si>
  <si>
    <t>Response Status</t>
  </si>
  <si>
    <t>HR Contact
Received?</t>
  </si>
  <si>
    <t>HR Email / Phone
Obtained</t>
  </si>
  <si>
    <t>Remarks / Notes</t>
  </si>
  <si>
    <t>NTW-001</t>
  </si>
  <si>
    <t>HR Consultant / Business Partner</t>
  </si>
  <si>
    <t>Independent / Network</t>
  </si>
  <si>
    <t>Known via EDII / Professional Network</t>
  </si>
  <si>
    <t>Multiple HRs – BFSI &amp; IT</t>
  </si>
  <si>
    <t>Various</t>
  </si>
  <si>
    <t>WhatsApp / LinkedIn</t>
  </si>
  <si>
    <t>No</t>
  </si>
  <si>
    <t>Key connector — can introduce us to senior HRs across sectors</t>
  </si>
  <si>
    <t>NTW-002</t>
  </si>
  <si>
    <t>Furkan Sir</t>
  </si>
  <si>
    <t>Senior Advisor</t>
  </si>
  <si>
    <t>EDII / Network</t>
  </si>
  <si>
    <t>Internal EDII Referral</t>
  </si>
  <si>
    <t>Leena Lopez (Knowcraft)</t>
  </si>
  <si>
    <t>Yes</t>
  </si>
  <si>
    <t>leenaantony@knowcraft.com</t>
  </si>
  <si>
    <t>Referred CHR-001. Can connect to more Ahmedabad HRs</t>
  </si>
  <si>
    <t>NTW-003</t>
  </si>
  <si>
    <t>Rohan Shah</t>
  </si>
  <si>
    <t>Business Development / Network</t>
  </si>
  <si>
    <t>Professional Network</t>
  </si>
  <si>
    <t>Known via Industry Events</t>
  </si>
  <si>
    <t>Multiple HRs – Pharma &amp; Mfg</t>
  </si>
  <si>
    <t>WhatsApp / Phone</t>
  </si>
  <si>
    <t>Active</t>
  </si>
  <si>
    <t>Partial</t>
  </si>
  <si>
    <t>Referred CHR-002, CHR-003, CHR-004. Follow up for more contacts</t>
  </si>
  <si>
    <t>NTW-004</t>
  </si>
  <si>
    <t>VP – Strategy &amp; Human Resources</t>
  </si>
  <si>
    <t>Met via Furkan Sir (CHR-001)</t>
  </si>
  <si>
    <t>Rushad Shah (Cygnet.one)</t>
  </si>
  <si>
    <t>Phone / LinkedIn</t>
  </si>
  <si>
    <t>Referred CHR-005 (Rushad Shah). Strong HR network in IT sector</t>
  </si>
  <si>
    <t>NTW-005</t>
  </si>
  <si>
    <t>Surya Verma</t>
  </si>
  <si>
    <t>Not Started</t>
  </si>
  <si>
    <t>NTW-006</t>
  </si>
  <si>
    <t>NTW-007</t>
  </si>
  <si>
    <t>🟢 Green = Done / Contact Received   🟡 Yellow = Active / In Progress   🟠 Orange = Pending   ⬜ White = Not Started</t>
  </si>
  <si>
    <t>Meeting Notes – MOM Repository</t>
  </si>
  <si>
    <t>Contact ID</t>
  </si>
  <si>
    <t>Meeting Date</t>
  </si>
  <si>
    <t>Detailed Minutes
of Meeting</t>
  </si>
  <si>
    <t>Attachments
(File / Link)</t>
  </si>
  <si>
    <t>Key Takeaways</t>
  </si>
  <si>
    <t>Action Items</t>
  </si>
  <si>
    <t>Owner</t>
  </si>
  <si>
    <t>Deadline</t>
  </si>
  <si>
    <t>Discussed campus hiring process for analytics roles. CHRO highlighted that current campus partners do not offer specialised analytics curriculum. EDII was proposed as a potential partner for a pilot batch. AI upskilling for existing employees was a secondary agenda item.</t>
  </si>
  <si>
    <t>MOM_001.pdf</t>
  </si>
  <si>
    <t>1. EDII analytics program aligns with hiring needs
2. Pilot batch of 20 students proposed
3. AI upskilling budget available</t>
  </si>
  <si>
    <t>1. Share EDII program brochure
2. Draft pilot MoU
3. Set up call with EDII placement team</t>
  </si>
  <si>
    <t>Vivek (EDII)</t>
  </si>
  <si>
    <t>Detailed discussion on L&amp;D spend utilization. Current training is ad-hoc; no competency framework. HR Head open to co-designing a structured framework with EDII. Budget of ₹50L available for FY26.</t>
  </si>
  <si>
    <t>MOM_002.pdf</t>
  </si>
  <si>
    <t>1. ₹50L L&amp;D budget unutilized
2. Mid-management is priority cohort
3. EDII can provide faculty support</t>
  </si>
  <si>
    <t>1. Share L&amp;D framework proposal
2. Identify 3 pilot cohort managers
3. Confirm faculty availability</t>
  </si>
  <si>
    <t>Feedback Categorization</t>
  </si>
  <si>
    <t>Feedback Category</t>
  </si>
  <si>
    <t>Feedback Details</t>
  </si>
  <si>
    <t>Priority</t>
  </si>
  <si>
    <t>Tags</t>
  </si>
  <si>
    <t>Infosys</t>
  </si>
  <si>
    <t>Skill Gaps</t>
  </si>
  <si>
    <t>Analytics and AI skills are scarce in fresh graduates. Most campus hires need 6-month reskilling before becoming productive.</t>
  </si>
  <si>
    <t>Analytics, AI, Campus, Reskilling</t>
  </si>
  <si>
    <t>Tata Steel</t>
  </si>
  <si>
    <t>Mid-management lacks people management and digital skills. No formal competency framework in place.</t>
  </si>
  <si>
    <t>L&amp;D, Mid-management, Competency</t>
  </si>
  <si>
    <t>HDFC Bank</t>
  </si>
  <si>
    <t>Budget Constraints</t>
  </si>
  <si>
    <t>L&amp;D budget is primarily consumed by mandatory regulatory training. Little headroom for capability building.</t>
  </si>
  <si>
    <t>BFSI, Compliance, Budget</t>
  </si>
  <si>
    <t>Bajaj Auto</t>
  </si>
  <si>
    <t>AI Adoption</t>
  </si>
  <si>
    <t>EV transition requires reskilling 3,000+ workers. Leadership is committed but union negotiations are ongoing.</t>
  </si>
  <si>
    <t>EV, Reskilling, Automotive, Union</t>
  </si>
  <si>
    <t>Sun Pharma</t>
  </si>
  <si>
    <t>Hiring Challenges</t>
  </si>
  <si>
    <t>Niche pharma roles (regulatory affairs, QC) take 90+ days to fill. JD clarity and sourcing channels are gaps.</t>
  </si>
  <si>
    <t>Pharma, Niche Hiring, TAT</t>
  </si>
  <si>
    <t>HR Outreach Dashboard</t>
  </si>
  <si>
    <t>Total Contacts</t>
  </si>
  <si>
    <t>Follow-ups Due Today or Overdue</t>
  </si>
  <si>
    <t>High-Interest Leads</t>
  </si>
  <si>
    <t>Converted Contacts</t>
  </si>
  <si>
    <t>Count</t>
  </si>
  <si>
    <t>Relationship Stage</t>
  </si>
  <si>
    <t>IT/Technology</t>
  </si>
  <si>
    <t>Manufacturing</t>
  </si>
  <si>
    <t>Engaged</t>
  </si>
  <si>
    <t>BFSI</t>
  </si>
  <si>
    <t>Warm</t>
  </si>
  <si>
    <t>Campus Hiring</t>
  </si>
  <si>
    <t>Automotive</t>
  </si>
  <si>
    <t>Converted</t>
  </si>
  <si>
    <t>Closed</t>
  </si>
  <si>
    <t>FMCG</t>
  </si>
  <si>
    <t>L&amp;D Strategy</t>
  </si>
  <si>
    <t>Retail</t>
  </si>
  <si>
    <t>Attrition</t>
  </si>
  <si>
    <t>Other</t>
  </si>
  <si>
    <t>🟢 Green rows = High-Interest Lead  |  🔴 Red rows = Overdue Follow-up  |  All charts auto-update when new data is added to Contact Tracker.</t>
  </si>
  <si>
    <t>Rohit Swaroop</t>
  </si>
  <si>
    <t>CHR-041</t>
  </si>
  <si>
    <t xml:space="preserve">Fransha Francis </t>
  </si>
  <si>
    <t>Mastek</t>
  </si>
  <si>
    <t>IT</t>
  </si>
  <si>
    <t>linkedin.com/in/fransha</t>
  </si>
  <si>
    <t>CHR-042</t>
  </si>
  <si>
    <t>Dhara Agrawal</t>
  </si>
  <si>
    <t>Synoverge Technologies Pvt. Ltd.</t>
  </si>
  <si>
    <t>Tech</t>
  </si>
  <si>
    <t>linkedin.com/in/dhara-agarwal-2a00251a</t>
  </si>
  <si>
    <t>CHR-043</t>
  </si>
  <si>
    <t>CHR-044</t>
  </si>
  <si>
    <t>CHR-045</t>
  </si>
  <si>
    <t>CHR-046</t>
  </si>
  <si>
    <t>CHR-047</t>
  </si>
  <si>
    <t>CHR-048</t>
  </si>
  <si>
    <t>CHR-049</t>
  </si>
  <si>
    <t>CHR-050</t>
  </si>
  <si>
    <t>Vibhuti Mahajan</t>
  </si>
  <si>
    <t>Shefali Paliwal</t>
  </si>
  <si>
    <t>HR Executive</t>
  </si>
  <si>
    <t>Jay thacker</t>
  </si>
  <si>
    <t>Delhi</t>
  </si>
  <si>
    <t>IT Services</t>
  </si>
  <si>
    <t xml:space="preserve">Bhavesh vyas </t>
  </si>
  <si>
    <t>SAL Educations and Hospitals</t>
  </si>
  <si>
    <t>Ed and Hospitals</t>
  </si>
  <si>
    <t>TA lead</t>
  </si>
  <si>
    <t>Mahindra tractors</t>
  </si>
  <si>
    <t>Liberty mutual Insurance</t>
  </si>
  <si>
    <t>Finance</t>
  </si>
  <si>
    <t>linkedin.com/in/vibhuti-mahajan-857277239</t>
  </si>
  <si>
    <t>linkedin.com/in/shefali-paliwal-a203154b</t>
  </si>
  <si>
    <t>Strat board</t>
  </si>
  <si>
    <t>linkedin.com/in/bakshigaurav</t>
  </si>
  <si>
    <t>Gaurav Bakshi</t>
  </si>
  <si>
    <t>linkedin.com/in/bhavesh-vyas</t>
  </si>
  <si>
    <t>Birju Trivedi</t>
  </si>
  <si>
    <t>Sr. VP</t>
  </si>
  <si>
    <t>Zydus Group</t>
  </si>
  <si>
    <t>Hospital</t>
  </si>
  <si>
    <t>Archit-Rohan</t>
  </si>
  <si>
    <t>linkedin.com/in/birju-trivedi-495a905</t>
  </si>
  <si>
    <t>linkedin.com/in/fora-shrotriya-337997184</t>
  </si>
  <si>
    <t>Fora Shotriya</t>
  </si>
  <si>
    <t>linkedin.com/in/denisha-patel-mehta-48045b34</t>
  </si>
  <si>
    <t>Denisha Patel Mehta</t>
  </si>
  <si>
    <t>CHR-051</t>
  </si>
  <si>
    <t>CHR-052</t>
  </si>
  <si>
    <t>CHR-053</t>
  </si>
  <si>
    <t>Shrey</t>
  </si>
  <si>
    <t xml:space="preserve">Rahul Singh </t>
  </si>
  <si>
    <t>linkedin.com/in/aniruddh-barad-063a3a183</t>
  </si>
  <si>
    <t>Anirudha Barad</t>
  </si>
  <si>
    <t>Sarika Bhatt Maam</t>
  </si>
  <si>
    <t>CHR-054</t>
  </si>
  <si>
    <t>CHR-055</t>
  </si>
  <si>
    <t>CHR-056</t>
  </si>
  <si>
    <t>CHR-057</t>
  </si>
  <si>
    <t>CHR-058</t>
  </si>
  <si>
    <t>CHR-059</t>
  </si>
  <si>
    <t>CHR-060</t>
  </si>
  <si>
    <t>CHR-061</t>
  </si>
  <si>
    <t>CHR-062</t>
  </si>
  <si>
    <t>CHR-063</t>
  </si>
  <si>
    <t>CHR-064</t>
  </si>
  <si>
    <t>CHR-065</t>
  </si>
  <si>
    <t>CHR-066</t>
  </si>
  <si>
    <t>CHR-067</t>
  </si>
  <si>
    <t>CHR-068</t>
  </si>
  <si>
    <t>CHR-069</t>
  </si>
  <si>
    <t>CHR-070</t>
  </si>
  <si>
    <t>Bucket A</t>
  </si>
  <si>
    <t>Bucket B</t>
  </si>
  <si>
    <t>Bucket C</t>
  </si>
  <si>
    <t>Bucket B/C</t>
  </si>
  <si>
    <t>Bucket B or testing</t>
  </si>
  <si>
    <t>Bucket A/B</t>
  </si>
  <si>
    <t xml:space="preserve">JUNE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</si>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</sst>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6" x14ac:knownFonts="1">
    <font>
      <sz val="11"/>
      <color theme="1"/>
      <name val="Calibri"/>
      <charset val="1"/>
    </font>
    <font>
      <b/>
      <sz val="18"/>
      <color rgb="FFFFFFFF"/>
      <name val="Arial"/>
      <family val="2"/>
    </font>
    <font>
      <b/>
      <sz val="10"/>
      <color rgb="FF555555"/>
      <name val="Arial"/>
      <family val="2"/>
    </font>
    <font>
      <b/>
      <sz val="22"/>
      <color rgb="FF2E86AB"/>
      <name val="Arial"/>
      <family val="2"/>
    </font>
    <font>
      <b/>
      <sz val="22"/>
      <color rgb="FFC0392B"/>
      <name val="Arial"/>
      <family val="2"/>
    </font>
    <font>
      <b/>
      <sz val="22"/>
      <color rgb="FF1E8449"/>
      <name val="Arial"/>
      <family val="2"/>
    </font>
    <font>
      <b/>
      <sz val="22"/>
      <color rgb="FF1A5276"/>
      <name val="Arial"/>
      <family val="2"/>
    </font>
    <font>
      <b/>
      <sz val="10"/>
      <color rgb="FF2E86AB"/>
      <name val="Arial"/>
      <family val="2"/>
    </font>
    <font>
      <sz val="10"/>
      <color rgb="FF000000"/>
      <name val="Arial"/>
      <family val="2"/>
    </font>
    <font>
      <i/>
      <sz val="9"/>
      <color rgb="FF555555"/>
      <name val="Arial"/>
      <family val="2"/>
    </font>
    <font>
      <b/>
      <sz val="16"/>
      <color rgb="FFFFFFFF"/>
      <name val="Arial"/>
      <family val="2"/>
    </font>
    <font>
      <b/>
      <sz val="10"/>
      <color rgb="FFFFFFFF"/>
      <name val="Arial"/>
      <family val="2"/>
    </font>
    <font>
      <u/>
      <sz val="10"/>
      <color rgb="FF0563C1"/>
      <name val="Arial"/>
      <family val="2"/>
    </font>
    <font>
      <u/>
      <sz val="10"/>
      <color rgb="FF0563C1"/>
      <name val="Arial"/>
      <family val="2"/>
    </font>
    <font>
      <b/>
      <sz val="16"/>
      <color rgb="FFFFFFFF"/>
      <name val="Arial"/>
      <family val="2"/>
    </font>
    <font>
      <i/>
      <sz val="10"/>
      <color rgb="FF1F4E79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1F4E79"/>
      <name val="Arial"/>
      <family val="2"/>
    </font>
    <font>
      <b/>
      <sz val="10"/>
      <color rgb="FF843C0C"/>
      <name val="Arial"/>
      <family val="2"/>
    </font>
    <font>
      <b/>
      <sz val="10"/>
      <color rgb="FF375623"/>
      <name val="Arial"/>
      <family val="2"/>
    </font>
    <font>
      <i/>
      <sz val="9"/>
      <color rgb="FF1F4E79"/>
      <name val="Arial"/>
      <family val="2"/>
    </font>
    <font>
      <sz val="10"/>
      <name val="Arial"/>
      <family val="2"/>
    </font>
    <font>
      <b/>
      <sz val="16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1A5C2E"/>
      <name val="Arial"/>
      <family val="2"/>
    </font>
    <font>
      <u/>
      <sz val="10"/>
      <color rgb="FF0563C1"/>
      <name val="Arial"/>
      <family val="2"/>
    </font>
    <font>
      <sz val="10"/>
      <color rgb="FF276221"/>
      <name val="Arial"/>
      <family val="2"/>
    </font>
    <font>
      <sz val="10"/>
      <color rgb="FF333333"/>
      <name val="Arial"/>
      <family val="2"/>
    </font>
    <font>
      <b/>
      <sz val="9"/>
      <color rgb="FFFFFFFF"/>
      <name val="Arial"/>
      <family val="2"/>
    </font>
    <font>
      <sz val="10"/>
      <name val="Arial"/>
      <family val="2"/>
    </font>
    <font>
      <sz val="10"/>
      <color rgb="FF1A5C2E"/>
      <name val="Arial"/>
      <family val="2"/>
    </font>
    <font>
      <u/>
      <sz val="11"/>
      <color theme="10"/>
      <name val="Calibri"/>
      <family val="2"/>
    </font>
    <font>
      <sz val="14"/>
      <color theme="1"/>
      <name val="Helvetica Neue"/>
      <family val="2"/>
    </font>
    <font>
      <sz val="8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1F4E79"/>
        <bgColor rgb="FF1A5276"/>
      </patternFill>
    </fill>
    <fill>
      <patternFill patternType="solid">
        <fgColor rgb="FFD6E4F0"/>
        <bgColor rgb="FFD6EAF8"/>
      </patternFill>
    </fill>
    <fill>
      <patternFill patternType="solid">
        <fgColor rgb="FFFFD6D6"/>
        <bgColor rgb="FFFFCCCC"/>
      </patternFill>
    </fill>
    <fill>
      <patternFill patternType="solid">
        <fgColor rgb="FFD6F5D6"/>
        <bgColor rgb="FFC6EFCE"/>
      </patternFill>
    </fill>
    <fill>
      <patternFill patternType="solid">
        <fgColor rgb="FFD6EAF8"/>
        <bgColor rgb="FFD6E4F0"/>
      </patternFill>
    </fill>
    <fill>
      <patternFill patternType="solid">
        <fgColor rgb="FFFFFFFF"/>
        <bgColor rgb="FFF9F9F9"/>
      </patternFill>
    </fill>
    <fill>
      <patternFill patternType="solid">
        <fgColor rgb="FFEBF5FB"/>
        <bgColor rgb="FFF9F9F9"/>
      </patternFill>
    </fill>
    <fill>
      <patternFill patternType="solid">
        <fgColor rgb="FF1F4E79"/>
      </patternFill>
    </fill>
    <fill>
      <patternFill patternType="solid">
        <fgColor rgb="FFD6E4F7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F2F7FD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EBF5FB"/>
      </patternFill>
    </fill>
    <fill>
      <patternFill patternType="solid">
        <fgColor rgb="FFFFFFFF"/>
      </patternFill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EBF5FB"/>
      </patternFill>
    </fill>
    <fill>
      <patternFill patternType="solid">
        <fgColor rgb="FFFFFFFF"/>
      </patternFill>
    </fill>
    <fill>
      <patternFill patternType="solid">
        <fgColor rgb="FF2E86AB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AED6F1"/>
      </left>
      <right/>
      <top style="thin">
        <color rgb="FFAED6F1"/>
      </top>
      <bottom style="thin">
        <color rgb="FFAED6F1"/>
      </bottom>
      <diagonal/>
    </border>
    <border>
      <left/>
      <right/>
      <top style="thin">
        <color rgb="FFAED6F1"/>
      </top>
      <bottom style="thin">
        <color rgb="FFAED6F1"/>
      </bottom>
      <diagonal/>
    </border>
    <border>
      <left style="thin">
        <color rgb="FFAED6F1"/>
      </left>
      <right style="thin">
        <color rgb="FFAED6F1"/>
      </right>
      <top style="thin">
        <color rgb="FFAED6F1"/>
      </top>
      <bottom style="thin">
        <color rgb="FFAED6F1"/>
      </bottom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AED6F1"/>
      </left>
      <right style="thin">
        <color rgb="FFAED6F1"/>
      </right>
      <top style="thin">
        <color rgb="FFAED6F1"/>
      </top>
      <bottom style="thin">
        <color rgb="FFAED6F1"/>
      </bottom>
      <diagonal/>
    </border>
    <border>
      <left style="thin">
        <color rgb="FFAED6F1"/>
      </left>
      <right style="thin">
        <color rgb="FFAED6F1"/>
      </right>
      <top style="thin">
        <color rgb="FFAED6F1"/>
      </top>
      <bottom style="thin">
        <color rgb="FFAED6F1"/>
      </bottom>
      <diagonal/>
    </border>
  </borders>
  <cellStyleXfs count="2">
    <xf numFmtId="0" fontId="0" fillId="0" borderId="0"/>
    <xf numFmtId="0" fontId="33" fillId="0" borderId="0" applyNumberFormat="0" applyFill="0" applyBorder="0" applyAlignment="0" applyProtection="0"/>
  </cellStyleXfs>
  <cellXfs count="83">
    <xf numFmtId="0" fontId="0" fillId="0" borderId="0" xfId="0"/>
    <xf numFmtId="0" fontId="7" fillId="3" borderId="3" xfId="0" applyFont="1" applyFill="1" applyBorder="1" applyAlignment="1">
      <alignment horizontal="center" vertical="center" wrapText="1"/>
    </xf>
    <xf numFmtId="0" fontId="8" fillId="7" borderId="3" xfId="0" applyFont="1" applyFill="1" applyBorder="1"/>
    <xf numFmtId="0" fontId="8" fillId="7" borderId="3" xfId="0" applyFont="1" applyFill="1" applyBorder="1" applyAlignment="1">
      <alignment horizontal="center"/>
    </xf>
    <xf numFmtId="0" fontId="8" fillId="8" borderId="3" xfId="0" applyFont="1" applyFill="1" applyBorder="1"/>
    <xf numFmtId="0" fontId="8" fillId="8" borderId="3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vertical="top" wrapText="1"/>
    </xf>
    <xf numFmtId="0" fontId="8" fillId="8" borderId="3" xfId="0" applyFont="1" applyFill="1" applyBorder="1" applyAlignment="1">
      <alignment vertical="top" wrapText="1"/>
    </xf>
    <xf numFmtId="0" fontId="12" fillId="7" borderId="3" xfId="0" applyFont="1" applyFill="1" applyBorder="1" applyAlignment="1">
      <alignment vertical="top" wrapText="1"/>
    </xf>
    <xf numFmtId="0" fontId="13" fillId="8" borderId="3" xfId="0" applyFont="1" applyFill="1" applyBorder="1" applyAlignment="1">
      <alignment vertical="top" wrapText="1"/>
    </xf>
    <xf numFmtId="0" fontId="16" fillId="9" borderId="4" xfId="0" applyFont="1" applyFill="1" applyBorder="1" applyAlignment="1">
      <alignment horizontal="center" vertical="center" wrapText="1"/>
    </xf>
    <xf numFmtId="0" fontId="18" fillId="11" borderId="4" xfId="0" applyFont="1" applyFill="1" applyBorder="1" applyAlignment="1">
      <alignment horizontal="left" vertical="center" wrapText="1"/>
    </xf>
    <xf numFmtId="0" fontId="17" fillId="11" borderId="4" xfId="0" applyFont="1" applyFill="1" applyBorder="1" applyAlignment="1">
      <alignment horizontal="left" vertical="center" wrapText="1"/>
    </xf>
    <xf numFmtId="0" fontId="17" fillId="11" borderId="4" xfId="0" applyFont="1" applyFill="1" applyBorder="1" applyAlignment="1">
      <alignment horizontal="center" vertical="center" wrapText="1"/>
    </xf>
    <xf numFmtId="164" fontId="17" fillId="11" borderId="4" xfId="0" applyNumberFormat="1" applyFont="1" applyFill="1" applyBorder="1" applyAlignment="1">
      <alignment horizontal="center" vertical="center" wrapText="1"/>
    </xf>
    <xf numFmtId="0" fontId="19" fillId="12" borderId="4" xfId="0" applyFont="1" applyFill="1" applyBorder="1" applyAlignment="1">
      <alignment horizontal="center" vertical="center" wrapText="1"/>
    </xf>
    <xf numFmtId="0" fontId="20" fillId="12" borderId="4" xfId="0" applyFont="1" applyFill="1" applyBorder="1" applyAlignment="1">
      <alignment horizontal="center" vertical="center" wrapText="1"/>
    </xf>
    <xf numFmtId="0" fontId="18" fillId="13" borderId="4" xfId="0" applyFont="1" applyFill="1" applyBorder="1" applyAlignment="1">
      <alignment horizontal="left" vertical="center" wrapText="1"/>
    </xf>
    <xf numFmtId="0" fontId="17" fillId="13" borderId="4" xfId="0" applyFont="1" applyFill="1" applyBorder="1" applyAlignment="1">
      <alignment horizontal="left" vertical="center" wrapText="1"/>
    </xf>
    <xf numFmtId="0" fontId="17" fillId="13" borderId="4" xfId="0" applyFont="1" applyFill="1" applyBorder="1" applyAlignment="1">
      <alignment horizontal="center" vertical="center" wrapText="1"/>
    </xf>
    <xf numFmtId="164" fontId="17" fillId="13" borderId="4" xfId="0" applyNumberFormat="1" applyFont="1" applyFill="1" applyBorder="1" applyAlignment="1">
      <alignment horizontal="center" vertical="center" wrapText="1"/>
    </xf>
    <xf numFmtId="0" fontId="21" fillId="11" borderId="4" xfId="0" applyFont="1" applyFill="1" applyBorder="1" applyAlignment="1">
      <alignment horizontal="center" vertical="center" wrapText="1"/>
    </xf>
    <xf numFmtId="0" fontId="19" fillId="14" borderId="4" xfId="0" applyFont="1" applyFill="1" applyBorder="1" applyAlignment="1">
      <alignment horizontal="center" vertical="center" wrapText="1"/>
    </xf>
    <xf numFmtId="0" fontId="20" fillId="14" borderId="4" xfId="0" applyFont="1" applyFill="1" applyBorder="1" applyAlignment="1">
      <alignment horizontal="center" vertical="center" wrapText="1"/>
    </xf>
    <xf numFmtId="0" fontId="19" fillId="15" borderId="4" xfId="0" applyFont="1" applyFill="1" applyBorder="1" applyAlignment="1">
      <alignment horizontal="center" vertical="center" wrapText="1"/>
    </xf>
    <xf numFmtId="164" fontId="8" fillId="7" borderId="3" xfId="0" applyNumberFormat="1" applyFont="1" applyFill="1" applyBorder="1" applyAlignment="1">
      <alignment vertical="top" wrapText="1"/>
    </xf>
    <xf numFmtId="164" fontId="8" fillId="8" borderId="3" xfId="0" applyNumberFormat="1" applyFont="1" applyFill="1" applyBorder="1" applyAlignment="1">
      <alignment vertical="top" wrapText="1"/>
    </xf>
    <xf numFmtId="0" fontId="23" fillId="16" borderId="5" xfId="0" applyFont="1" applyFill="1" applyBorder="1" applyAlignment="1">
      <alignment vertical="center" wrapText="1"/>
    </xf>
    <xf numFmtId="164" fontId="23" fillId="16" borderId="5" xfId="0" applyNumberFormat="1" applyFont="1" applyFill="1" applyBorder="1" applyAlignment="1">
      <alignment vertical="center" wrapText="1"/>
    </xf>
    <xf numFmtId="0" fontId="23" fillId="17" borderId="5" xfId="0" applyFont="1" applyFill="1" applyBorder="1" applyAlignment="1">
      <alignment vertical="center" wrapText="1"/>
    </xf>
    <xf numFmtId="164" fontId="23" fillId="17" borderId="5" xfId="0" applyNumberFormat="1" applyFont="1" applyFill="1" applyBorder="1" applyAlignment="1">
      <alignment vertical="center" wrapText="1"/>
    </xf>
    <xf numFmtId="0" fontId="25" fillId="18" borderId="6" xfId="0" applyFont="1" applyFill="1" applyBorder="1" applyAlignment="1">
      <alignment horizontal="center" vertical="center" wrapText="1"/>
    </xf>
    <xf numFmtId="0" fontId="28" fillId="19" borderId="6" xfId="0" applyFont="1" applyFill="1" applyBorder="1" applyAlignment="1">
      <alignment vertical="center" wrapText="1"/>
    </xf>
    <xf numFmtId="0" fontId="29" fillId="20" borderId="6" xfId="0" applyFont="1" applyFill="1" applyBorder="1" applyAlignment="1">
      <alignment vertical="center" wrapText="1"/>
    </xf>
    <xf numFmtId="0" fontId="29" fillId="21" borderId="6" xfId="0" applyFont="1" applyFill="1" applyBorder="1" applyAlignment="1">
      <alignment vertical="center" wrapText="1"/>
    </xf>
    <xf numFmtId="0" fontId="31" fillId="20" borderId="6" xfId="0" applyFont="1" applyFill="1" applyBorder="1" applyAlignment="1">
      <alignment vertical="center"/>
    </xf>
    <xf numFmtId="0" fontId="31" fillId="21" borderId="6" xfId="0" applyFont="1" applyFill="1" applyBorder="1" applyAlignment="1">
      <alignment vertical="center"/>
    </xf>
    <xf numFmtId="0" fontId="31" fillId="22" borderId="6" xfId="0" applyFont="1" applyFill="1" applyBorder="1" applyAlignment="1">
      <alignment vertical="center"/>
    </xf>
    <xf numFmtId="164" fontId="30" fillId="22" borderId="6" xfId="0" applyNumberFormat="1" applyFont="1" applyFill="1" applyBorder="1" applyAlignment="1">
      <alignment horizontal="left" vertical="center"/>
    </xf>
    <xf numFmtId="164" fontId="31" fillId="22" borderId="6" xfId="0" applyNumberFormat="1" applyFont="1" applyFill="1" applyBorder="1" applyAlignment="1">
      <alignment vertical="center"/>
    </xf>
    <xf numFmtId="164" fontId="28" fillId="19" borderId="6" xfId="0" applyNumberFormat="1" applyFont="1" applyFill="1" applyBorder="1" applyAlignment="1">
      <alignment vertical="center"/>
    </xf>
    <xf numFmtId="0" fontId="28" fillId="19" borderId="6" xfId="0" applyFont="1" applyFill="1" applyBorder="1" applyAlignment="1">
      <alignment vertical="center"/>
    </xf>
    <xf numFmtId="0" fontId="27" fillId="19" borderId="6" xfId="0" applyFont="1" applyFill="1" applyBorder="1" applyAlignment="1">
      <alignment vertical="center"/>
    </xf>
    <xf numFmtId="0" fontId="27" fillId="21" borderId="6" xfId="0" applyFont="1" applyFill="1" applyBorder="1" applyAlignment="1">
      <alignment vertical="center"/>
    </xf>
    <xf numFmtId="164" fontId="29" fillId="21" borderId="6" xfId="0" applyNumberFormat="1" applyFont="1" applyFill="1" applyBorder="1" applyAlignment="1">
      <alignment vertical="center"/>
    </xf>
    <xf numFmtId="164" fontId="29" fillId="20" borderId="6" xfId="0" applyNumberFormat="1" applyFont="1" applyFill="1" applyBorder="1" applyAlignment="1">
      <alignment vertical="center"/>
    </xf>
    <xf numFmtId="0" fontId="29" fillId="20" borderId="6" xfId="0" applyFont="1" applyFill="1" applyBorder="1" applyAlignment="1">
      <alignment vertical="center"/>
    </xf>
    <xf numFmtId="0" fontId="29" fillId="21" borderId="6" xfId="0" applyFont="1" applyFill="1" applyBorder="1" applyAlignment="1">
      <alignment vertical="center"/>
    </xf>
    <xf numFmtId="0" fontId="0" fillId="0" borderId="0" xfId="0" applyAlignment="1">
      <alignment wrapText="1"/>
    </xf>
    <xf numFmtId="164" fontId="26" fillId="23" borderId="6" xfId="0" applyNumberFormat="1" applyFont="1" applyFill="1" applyBorder="1" applyAlignment="1">
      <alignment vertical="center" wrapText="1"/>
    </xf>
    <xf numFmtId="0" fontId="26" fillId="23" borderId="6" xfId="0" applyFont="1" applyFill="1" applyBorder="1" applyAlignment="1">
      <alignment vertical="center" wrapText="1"/>
    </xf>
    <xf numFmtId="0" fontId="32" fillId="23" borderId="6" xfId="0" applyFont="1" applyFill="1" applyBorder="1" applyAlignment="1">
      <alignment vertical="center" wrapText="1"/>
    </xf>
    <xf numFmtId="0" fontId="27" fillId="23" borderId="6" xfId="0" applyFont="1" applyFill="1" applyBorder="1" applyAlignment="1">
      <alignment vertical="center" wrapText="1"/>
    </xf>
    <xf numFmtId="164" fontId="26" fillId="24" borderId="6" xfId="0" applyNumberFormat="1" applyFont="1" applyFill="1" applyBorder="1" applyAlignment="1">
      <alignment vertical="center" wrapText="1"/>
    </xf>
    <xf numFmtId="0" fontId="26" fillId="24" borderId="6" xfId="0" applyFont="1" applyFill="1" applyBorder="1" applyAlignment="1">
      <alignment vertical="center" wrapText="1"/>
    </xf>
    <xf numFmtId="0" fontId="32" fillId="24" borderId="6" xfId="0" applyFont="1" applyFill="1" applyBorder="1" applyAlignment="1">
      <alignment vertical="center" wrapText="1"/>
    </xf>
    <xf numFmtId="0" fontId="23" fillId="20" borderId="6" xfId="0" applyFont="1" applyFill="1" applyBorder="1" applyAlignment="1">
      <alignment vertical="center"/>
    </xf>
    <xf numFmtId="0" fontId="34" fillId="0" borderId="0" xfId="0" applyFont="1"/>
    <xf numFmtId="0" fontId="33" fillId="0" borderId="0" xfId="1"/>
    <xf numFmtId="0" fontId="23" fillId="21" borderId="6" xfId="0" applyFont="1" applyFill="1" applyBorder="1" applyAlignment="1">
      <alignment vertical="center"/>
    </xf>
    <xf numFmtId="15" fontId="31" fillId="20" borderId="6" xfId="0" applyNumberFormat="1" applyFont="1" applyFill="1" applyBorder="1" applyAlignment="1">
      <alignment vertical="center"/>
    </xf>
    <xf numFmtId="15" fontId="31" fillId="21" borderId="6" xfId="0" applyNumberFormat="1" applyFont="1" applyFill="1" applyBorder="1" applyAlignment="1">
      <alignment vertical="center"/>
    </xf>
    <xf numFmtId="0" fontId="24" fillId="18" borderId="0" xfId="0" applyFont="1" applyFill="1" applyAlignment="1">
      <alignment horizontal="center" vertical="center"/>
    </xf>
    <xf numFmtId="0" fontId="0" fillId="0" borderId="0" xfId="0"/>
    <xf numFmtId="0" fontId="15" fillId="10" borderId="0" xfId="0" applyFont="1" applyFill="1" applyAlignment="1">
      <alignment horizontal="left" vertical="center" indent="1"/>
    </xf>
    <xf numFmtId="0" fontId="14" fillId="9" borderId="0" xfId="0" applyFont="1" applyFill="1" applyAlignment="1">
      <alignment horizontal="left" vertical="center" indent="1"/>
    </xf>
    <xf numFmtId="0" fontId="22" fillId="10" borderId="0" xfId="0" applyFont="1" applyFill="1" applyAlignment="1">
      <alignment horizontal="left" vertical="center" indent="1"/>
    </xf>
    <xf numFmtId="0" fontId="10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0" fillId="0" borderId="2" xfId="0" applyBorder="1"/>
    <xf numFmtId="0" fontId="6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26" fillId="25" borderId="6" xfId="0" applyFont="1" applyFill="1" applyBorder="1" applyAlignment="1">
      <alignment vertical="center" wrapText="1"/>
    </xf>
    <xf numFmtId="0" fontId="29" fillId="25" borderId="6" xfId="0" applyFont="1" applyFill="1" applyBorder="1" applyAlignment="1">
      <alignment vertical="center"/>
    </xf>
    <xf numFmtId="0" fontId="29" fillId="25" borderId="6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4">
    <dxf>
      <font>
        <sz val="10"/>
        <color rgb="FF9C6500"/>
        <name val="Arial"/>
        <charset val="1"/>
      </font>
      <fill>
        <patternFill patternType="solid">
          <bgColor rgb="FFFFEB9C"/>
        </patternFill>
      </fill>
    </dxf>
    <dxf>
      <font>
        <sz val="10"/>
        <color rgb="FF276221"/>
        <name val="Arial"/>
        <charset val="1"/>
      </font>
      <fill>
        <patternFill patternType="solid">
          <bgColor rgb="FFC6EFCE"/>
        </patternFill>
      </fill>
    </dxf>
    <dxf>
      <font>
        <sz val="10"/>
        <color rgb="FF276221"/>
        <name val="Arial"/>
      </font>
      <fill>
        <patternFill patternType="solid">
          <fgColor rgb="FFC6EFCE"/>
        </patternFill>
      </fill>
    </dxf>
    <dxf>
      <font>
        <sz val="10"/>
        <color rgb="FF9C0006"/>
        <name val="Arial"/>
      </font>
      <fill>
        <patternFill patternType="solid">
          <fgColor rgb="FFFF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276221"/>
      <rgbColor rgb="00000080"/>
      <rgbColor rgb="009C6500"/>
      <rgbColor rgb="00800080"/>
      <rgbColor rgb="00117A65"/>
      <rgbColor rgb="00D6E4F0"/>
      <rgbColor rgb="00878787"/>
      <rgbColor rgb="009999FF"/>
      <rgbColor rgb="00C0504D"/>
      <rgbColor rgb="00F9F9F9"/>
      <rgbColor rgb="00D6EAF8"/>
      <rgbColor rgb="00660066"/>
      <rgbColor rgb="00FF8080"/>
      <rgbColor rgb="000563C1"/>
      <rgbColor rgb="00D9D9D9"/>
      <rgbColor rgb="00000080"/>
      <rgbColor rgb="00FF00FF"/>
      <rgbColor rgb="00FFFF00"/>
      <rgbColor rgb="0000FFFF"/>
      <rgbColor rgb="00800080"/>
      <rgbColor rgb="00800000"/>
      <rgbColor rgb="002E86AB"/>
      <rgbColor rgb="000000FF"/>
      <rgbColor rgb="0000CCFF"/>
      <rgbColor rgb="00EBF5FB"/>
      <rgbColor rgb="00D6F5D6"/>
      <rgbColor rgb="00FFEB9C"/>
      <rgbColor rgb="00AED6F1"/>
      <rgbColor rgb="00FFD6D6"/>
      <rgbColor rgb="00C6EFCE"/>
      <rgbColor rgb="00FFCCCC"/>
      <rgbColor rgb="004F81BD"/>
      <rgbColor rgb="004BACC6"/>
      <rgbColor rgb="009BBB59"/>
      <rgbColor rgb="00FFCC00"/>
      <rgbColor rgb="00FF9900"/>
      <rgbColor rgb="00E74C3C"/>
      <rgbColor rgb="008064A2"/>
      <rgbColor rgb="00969696"/>
      <rgbColor rgb="001A5276"/>
      <rgbColor rgb="001E8449"/>
      <rgbColor rgb="00003300"/>
      <rgbColor rgb="00333300"/>
      <rgbColor rgb="00C0392B"/>
      <rgbColor rgb="00993366"/>
      <rgbColor rgb="001F4E79"/>
      <rgbColor rgb="00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Contacts by Industry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strike="noStrike" kern="1200" spc="-1" baseline="0">
                    <a:solidFill>
                      <a:srgbClr val="000000"/>
                    </a:solidFill>
                    <a:latin typeface="Arial" panose="020B0604020202090204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Dashboard!$A$9:$A$16</c:f>
              <c:strCache>
                <c:ptCount val="8"/>
                <c:pt idx="0">
                  <c:v>IT/Technology</c:v>
                </c:pt>
                <c:pt idx="1">
                  <c:v>Manufacturing</c:v>
                </c:pt>
                <c:pt idx="2">
                  <c:v>BFSI</c:v>
                </c:pt>
                <c:pt idx="3">
                  <c:v>Automotive</c:v>
                </c:pt>
                <c:pt idx="4">
                  <c:v>Pharma</c:v>
                </c:pt>
                <c:pt idx="5">
                  <c:v>FMCG</c:v>
                </c:pt>
                <c:pt idx="6">
                  <c:v>Retail</c:v>
                </c:pt>
                <c:pt idx="7">
                  <c:v>Other</c:v>
                </c:pt>
              </c:strCache>
            </c:strRef>
          </c:cat>
          <c:val>
            <c:numRef>
              <c:f>Dashboard!$B$9:$B$16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B2-4F1E-8218-027345C80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973968"/>
        <c:axId val="2533364"/>
      </c:barChart>
      <c:catAx>
        <c:axId val="70973968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2533364"/>
        <c:crosses val="autoZero"/>
        <c:auto val="1"/>
        <c:lblAlgn val="ctr"/>
        <c:lblOffset val="100"/>
        <c:noMultiLvlLbl val="0"/>
      </c:catAx>
      <c:valAx>
        <c:axId val="2533364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Industry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70973968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Pipeline by Relationship Stage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Dashboard!$E$8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dPt>
            <c:idx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FA1-41F2-A0E1-49DC0CD203A4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3-8FA1-41F2-A0E1-49DC0CD203A4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5-8FA1-41F2-A0E1-49DC0CD203A4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7-8FA1-41F2-A0E1-49DC0CD203A4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9-8FA1-41F2-A0E1-49DC0CD203A4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strike="noStrike" kern="1200" spc="-1" baseline="0">
                    <a:solidFill>
                      <a:srgbClr val="000000"/>
                    </a:solidFill>
                    <a:latin typeface="Arial" panose="020B0604020202090204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Dashboard!$D$9:$D$13</c:f>
              <c:strCache>
                <c:ptCount val="5"/>
                <c:pt idx="0">
                  <c:v>New</c:v>
                </c:pt>
                <c:pt idx="1">
                  <c:v>Engaged</c:v>
                </c:pt>
                <c:pt idx="2">
                  <c:v>Warm</c:v>
                </c:pt>
                <c:pt idx="3">
                  <c:v>Converted</c:v>
                </c:pt>
                <c:pt idx="4">
                  <c:v>Closed</c:v>
                </c:pt>
              </c:strCache>
            </c:strRef>
          </c:cat>
          <c:val>
            <c:numRef>
              <c:f>Dashboard!$E$9:$E$13</c:f>
              <c:numCache>
                <c:formatCode>General</c:formatCode>
                <c:ptCount val="5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FA1-41F2-A0E1-49DC0CD20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 w="0"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Feedback by Category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strike="noStrike" kern="1200" spc="-1" baseline="0">
                    <a:solidFill>
                      <a:srgbClr val="000000"/>
                    </a:solidFill>
                    <a:latin typeface="Arial" panose="020B0604020202090204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Dashboard!$G$9:$G$16</c:f>
              <c:strCache>
                <c:ptCount val="8"/>
                <c:pt idx="0">
                  <c:v>Hiring Challenges</c:v>
                </c:pt>
                <c:pt idx="1">
                  <c:v>Skill Gaps</c:v>
                </c:pt>
                <c:pt idx="2">
                  <c:v>Campus Hiring</c:v>
                </c:pt>
                <c:pt idx="3">
                  <c:v>AI Adoption</c:v>
                </c:pt>
                <c:pt idx="4">
                  <c:v>Budget Constraints</c:v>
                </c:pt>
                <c:pt idx="5">
                  <c:v>L&amp;D Strategy</c:v>
                </c:pt>
                <c:pt idx="6">
                  <c:v>Attrition</c:v>
                </c:pt>
                <c:pt idx="7">
                  <c:v>Other</c:v>
                </c:pt>
              </c:strCache>
            </c:strRef>
          </c:cat>
          <c:val>
            <c:numRef>
              <c:f>Dashboard!$H$9:$H$16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8-4117-85C3-D7974FF0B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628582"/>
        <c:axId val="92900993"/>
      </c:barChart>
      <c:catAx>
        <c:axId val="4362858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92900993"/>
        <c:crosses val="autoZero"/>
        <c:auto val="1"/>
        <c:lblAlgn val="ctr"/>
        <c:lblOffset val="100"/>
        <c:noMultiLvlLbl val="0"/>
      </c:catAx>
      <c:valAx>
        <c:axId val="92900993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43628582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6</xdr:col>
      <xdr:colOff>558360</xdr:colOff>
      <xdr:row>39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937260</xdr:colOff>
      <xdr:row>19</xdr:row>
      <xdr:rowOff>68580</xdr:rowOff>
    </xdr:from>
    <xdr:to>
      <xdr:col>14</xdr:col>
      <xdr:colOff>573660</xdr:colOff>
      <xdr:row>42</xdr:row>
      <xdr:rowOff>14220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35</xdr:row>
      <xdr:rowOff>0</xdr:rowOff>
    </xdr:from>
    <xdr:to>
      <xdr:col>7</xdr:col>
      <xdr:colOff>291600</xdr:colOff>
      <xdr:row>57</xdr:row>
      <xdr:rowOff>128520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fransha/" TargetMode="External"/><Relationship Id="rId13" Type="http://schemas.openxmlformats.org/officeDocument/2006/relationships/hyperlink" Target="https://www.linkedin.com/in/bakshigaurav/" TargetMode="External"/><Relationship Id="rId18" Type="http://schemas.openxmlformats.org/officeDocument/2006/relationships/hyperlink" Target="https://www.linkedin.com/in/aniruddh-barad-063a3a183/" TargetMode="External"/><Relationship Id="rId3" Type="http://schemas.openxmlformats.org/officeDocument/2006/relationships/hyperlink" Target="https://www.linkedin.com/in/kunal-mehta-9071911/" TargetMode="External"/><Relationship Id="rId7" Type="http://schemas.openxmlformats.org/officeDocument/2006/relationships/hyperlink" Target="https://www.linkedin.com/in/hetakshi-shah-672711171/" TargetMode="External"/><Relationship Id="rId12" Type="http://schemas.openxmlformats.org/officeDocument/2006/relationships/hyperlink" Target="https://www.linkedin.com/in/shefali-paliwal-a203154b/" TargetMode="External"/><Relationship Id="rId17" Type="http://schemas.openxmlformats.org/officeDocument/2006/relationships/hyperlink" Target="https://www.linkedin.com/in/denisha-patel-mehta-48045b34/" TargetMode="External"/><Relationship Id="rId2" Type="http://schemas.openxmlformats.org/officeDocument/2006/relationships/hyperlink" Target="https://www.linkedin.com/in/leenaantony/" TargetMode="External"/><Relationship Id="rId16" Type="http://schemas.openxmlformats.org/officeDocument/2006/relationships/hyperlink" Target="https://www.linkedin.com/in/fora-shrotriya-337997184/" TargetMode="External"/><Relationship Id="rId1" Type="http://schemas.openxmlformats.org/officeDocument/2006/relationships/hyperlink" Target="https://www.linkedin.com/in/joshi-swati/" TargetMode="External"/><Relationship Id="rId6" Type="http://schemas.openxmlformats.org/officeDocument/2006/relationships/hyperlink" Target="https://www.linkedin.com/in/paragbhatt/" TargetMode="External"/><Relationship Id="rId11" Type="http://schemas.openxmlformats.org/officeDocument/2006/relationships/hyperlink" Target="https://www.linkedin.com/in/vibhuti-mahajan-857277239/" TargetMode="External"/><Relationship Id="rId5" Type="http://schemas.openxmlformats.org/officeDocument/2006/relationships/hyperlink" Target="https://www.linkedin.com/in/meetali-saxena-13624b55/" TargetMode="External"/><Relationship Id="rId15" Type="http://schemas.openxmlformats.org/officeDocument/2006/relationships/hyperlink" Target="https://www.linkedin.com/in/birju-trivedi-495a905/" TargetMode="External"/><Relationship Id="rId10" Type="http://schemas.openxmlformats.org/officeDocument/2006/relationships/hyperlink" Target="https://www.linkedin.com/in/dhara-agarwal-2a00251a/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www.linkedin.com/in/hemang-desai-for-organisational-transformation/" TargetMode="External"/><Relationship Id="rId9" Type="http://schemas.openxmlformats.org/officeDocument/2006/relationships/hyperlink" Target="https://www.linkedin.com/company/837860/" TargetMode="External"/><Relationship Id="rId14" Type="http://schemas.openxmlformats.org/officeDocument/2006/relationships/hyperlink" Target="https://www.linkedin.com/in/bhavesh-vyas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X221"/>
  <sheetViews>
    <sheetView showGridLines="0" tabSelected="1" workbookViewId="0">
      <pane ySplit="2" topLeftCell="A3" activePane="bottomLeft" state="frozen"/>
      <selection pane="bottomLeft" activeCell="T43" sqref="T43"/>
    </sheetView>
  </sheetViews>
  <sheetFormatPr baseColWidth="10" defaultColWidth="8.83203125" defaultRowHeight="15" x14ac:dyDescent="0.2"/>
  <cols>
    <col min="1" max="2" width="16" customWidth="1"/>
    <col min="3" max="3" width="14" customWidth="1"/>
    <col min="4" max="4" width="12" customWidth="1"/>
    <col min="5" max="7" width="22" customWidth="1"/>
    <col min="8" max="8" width="18" customWidth="1"/>
    <col min="9" max="9" width="14" customWidth="1"/>
    <col min="10" max="10" width="18" customWidth="1"/>
    <col min="11" max="11" width="26" customWidth="1"/>
    <col min="12" max="12" width="16" customWidth="1"/>
    <col min="13" max="14" width="28" customWidth="1"/>
    <col min="15" max="15" width="20" customWidth="1"/>
    <col min="16" max="17" width="28" customWidth="1"/>
    <col min="18" max="18" width="14" customWidth="1"/>
    <col min="19" max="19" width="18" customWidth="1"/>
    <col min="20" max="22" width="16" customWidth="1"/>
    <col min="23" max="23" width="18" customWidth="1"/>
    <col min="24" max="24" width="28" customWidth="1"/>
  </cols>
  <sheetData>
    <row r="1" spans="1:24" ht="40" customHeight="1" x14ac:dyDescent="0.2">
      <c r="A1" s="63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</row>
    <row r="2" spans="1:24" ht="36" customHeight="1" x14ac:dyDescent="0.2">
      <c r="A2" s="32" t="s">
        <v>1</v>
      </c>
      <c r="B2" s="32" t="s">
        <v>2</v>
      </c>
      <c r="C2" s="32" t="s">
        <v>3</v>
      </c>
      <c r="D2" s="32" t="s">
        <v>4</v>
      </c>
      <c r="E2" s="32" t="s">
        <v>5</v>
      </c>
      <c r="F2" s="32" t="s">
        <v>6</v>
      </c>
      <c r="G2" s="32" t="s">
        <v>7</v>
      </c>
      <c r="H2" s="32" t="s">
        <v>8</v>
      </c>
      <c r="I2" s="32" t="s">
        <v>9</v>
      </c>
      <c r="J2" s="32" t="s">
        <v>10</v>
      </c>
      <c r="K2" s="32" t="s">
        <v>11</v>
      </c>
      <c r="L2" s="32" t="s">
        <v>12</v>
      </c>
      <c r="M2" s="32" t="s">
        <v>13</v>
      </c>
      <c r="N2" s="32" t="s">
        <v>14</v>
      </c>
      <c r="O2" s="32" t="s">
        <v>15</v>
      </c>
      <c r="P2" s="32" t="s">
        <v>16</v>
      </c>
      <c r="Q2" s="32" t="s">
        <v>17</v>
      </c>
      <c r="R2" s="32" t="s">
        <v>18</v>
      </c>
      <c r="S2" s="32" t="s">
        <v>19</v>
      </c>
      <c r="T2" s="32" t="s">
        <v>20</v>
      </c>
      <c r="U2" s="32" t="s">
        <v>21</v>
      </c>
      <c r="V2" s="32" t="s">
        <v>22</v>
      </c>
      <c r="W2" s="32" t="s">
        <v>23</v>
      </c>
      <c r="X2" s="32" t="s">
        <v>24</v>
      </c>
    </row>
    <row r="3" spans="1:24" s="49" customFormat="1" ht="28" x14ac:dyDescent="0.2">
      <c r="A3" s="50">
        <v>46079</v>
      </c>
      <c r="B3" s="51" t="s">
        <v>25</v>
      </c>
      <c r="C3" s="51" t="s">
        <v>36</v>
      </c>
      <c r="D3" s="51" t="s">
        <v>26</v>
      </c>
      <c r="E3" s="51" t="s">
        <v>27</v>
      </c>
      <c r="F3" s="51" t="s">
        <v>28</v>
      </c>
      <c r="G3" s="51" t="s">
        <v>29</v>
      </c>
      <c r="H3" s="51" t="s">
        <v>30</v>
      </c>
      <c r="I3" s="51" t="s">
        <v>31</v>
      </c>
      <c r="J3" s="52" t="s">
        <v>103</v>
      </c>
      <c r="K3" s="51"/>
      <c r="L3" s="51"/>
      <c r="M3" s="53" t="s">
        <v>32</v>
      </c>
      <c r="N3" s="51"/>
      <c r="O3" s="51"/>
      <c r="P3" s="51"/>
      <c r="Q3" s="51"/>
      <c r="R3" s="51" t="s">
        <v>33</v>
      </c>
      <c r="S3" s="51" t="s">
        <v>34</v>
      </c>
      <c r="T3" s="50">
        <v>46162</v>
      </c>
      <c r="U3" s="51" t="s">
        <v>35</v>
      </c>
      <c r="V3" s="50"/>
      <c r="W3" s="50"/>
      <c r="X3" s="51"/>
    </row>
    <row r="4" spans="1:24" s="49" customFormat="1" x14ac:dyDescent="0.2">
      <c r="A4" s="50">
        <v>46083</v>
      </c>
      <c r="B4" s="51" t="s">
        <v>25</v>
      </c>
      <c r="C4" s="51" t="s">
        <v>36</v>
      </c>
      <c r="D4" s="51" t="s">
        <v>37</v>
      </c>
      <c r="E4" s="51" t="s">
        <v>38</v>
      </c>
      <c r="F4" s="51" t="s">
        <v>39</v>
      </c>
      <c r="G4" s="51" t="s">
        <v>40</v>
      </c>
      <c r="H4" s="51" t="s">
        <v>41</v>
      </c>
      <c r="I4" s="51" t="s">
        <v>31</v>
      </c>
      <c r="J4" s="51" t="s">
        <v>42</v>
      </c>
      <c r="K4" s="51" t="s">
        <v>43</v>
      </c>
      <c r="L4" s="51">
        <v>9662520345</v>
      </c>
      <c r="M4" s="51" t="s">
        <v>44</v>
      </c>
      <c r="N4" s="51"/>
      <c r="O4" s="51"/>
      <c r="P4" s="51"/>
      <c r="Q4" s="51" t="s">
        <v>422</v>
      </c>
      <c r="R4" s="51" t="s">
        <v>45</v>
      </c>
      <c r="S4" s="51" t="s">
        <v>34</v>
      </c>
      <c r="T4" s="50">
        <v>46158</v>
      </c>
      <c r="U4" s="51" t="s">
        <v>35</v>
      </c>
      <c r="V4" s="50">
        <v>46083</v>
      </c>
      <c r="W4" s="50">
        <v>46083</v>
      </c>
      <c r="X4" s="51" t="s">
        <v>42</v>
      </c>
    </row>
    <row r="5" spans="1:24" s="49" customFormat="1" x14ac:dyDescent="0.2">
      <c r="A5" s="50">
        <v>46083</v>
      </c>
      <c r="B5" s="51" t="s">
        <v>25</v>
      </c>
      <c r="C5" s="51" t="s">
        <v>36</v>
      </c>
      <c r="D5" s="51" t="s">
        <v>46</v>
      </c>
      <c r="E5" s="51" t="s">
        <v>47</v>
      </c>
      <c r="F5" s="51" t="s">
        <v>39</v>
      </c>
      <c r="G5" s="51" t="s">
        <v>48</v>
      </c>
      <c r="H5" s="51" t="s">
        <v>49</v>
      </c>
      <c r="I5" s="51" t="s">
        <v>31</v>
      </c>
      <c r="J5" s="51" t="s">
        <v>38</v>
      </c>
      <c r="K5" s="51" t="s">
        <v>50</v>
      </c>
      <c r="L5" s="51" t="s">
        <v>48</v>
      </c>
      <c r="M5" s="51" t="s">
        <v>48</v>
      </c>
      <c r="N5" s="51"/>
      <c r="O5" s="51"/>
      <c r="P5" s="51"/>
      <c r="Q5" s="51" t="s">
        <v>422</v>
      </c>
      <c r="R5" s="51" t="s">
        <v>45</v>
      </c>
      <c r="S5" s="51" t="s">
        <v>34</v>
      </c>
      <c r="T5" s="50">
        <v>46159</v>
      </c>
      <c r="U5" s="51" t="s">
        <v>35</v>
      </c>
      <c r="V5" s="50">
        <v>46083</v>
      </c>
      <c r="W5" s="50">
        <v>46083</v>
      </c>
      <c r="X5" s="51" t="s">
        <v>42</v>
      </c>
    </row>
    <row r="6" spans="1:24" s="49" customFormat="1" ht="28" x14ac:dyDescent="0.2">
      <c r="A6" s="50">
        <v>46128</v>
      </c>
      <c r="B6" s="51" t="s">
        <v>25</v>
      </c>
      <c r="C6" s="51" t="s">
        <v>51</v>
      </c>
      <c r="D6" s="51" t="s">
        <v>52</v>
      </c>
      <c r="E6" s="51" t="s">
        <v>53</v>
      </c>
      <c r="F6" s="51" t="s">
        <v>54</v>
      </c>
      <c r="G6" s="51" t="s">
        <v>55</v>
      </c>
      <c r="H6" s="51" t="s">
        <v>56</v>
      </c>
      <c r="I6" s="51" t="s">
        <v>31</v>
      </c>
      <c r="J6" s="51" t="s">
        <v>57</v>
      </c>
      <c r="K6" s="51" t="s">
        <v>48</v>
      </c>
      <c r="L6" s="51" t="s">
        <v>58</v>
      </c>
      <c r="M6" s="53" t="s">
        <v>59</v>
      </c>
      <c r="N6" s="51"/>
      <c r="O6" s="51"/>
      <c r="P6" s="51"/>
      <c r="Q6" s="51" t="s">
        <v>423</v>
      </c>
      <c r="R6" s="51" t="s">
        <v>45</v>
      </c>
      <c r="S6" s="51" t="s">
        <v>34</v>
      </c>
      <c r="T6" s="50">
        <v>46157</v>
      </c>
      <c r="U6" s="51" t="s">
        <v>60</v>
      </c>
      <c r="V6" s="50">
        <v>46128</v>
      </c>
      <c r="W6" s="50">
        <v>46147</v>
      </c>
      <c r="X6" s="51" t="s">
        <v>61</v>
      </c>
    </row>
    <row r="7" spans="1:24" s="49" customFormat="1" ht="28" x14ac:dyDescent="0.2">
      <c r="A7" s="50">
        <v>46149</v>
      </c>
      <c r="B7" s="51" t="s">
        <v>25</v>
      </c>
      <c r="C7" s="51" t="s">
        <v>51</v>
      </c>
      <c r="D7" s="51" t="s">
        <v>62</v>
      </c>
      <c r="E7" s="51" t="s">
        <v>63</v>
      </c>
      <c r="F7" s="51" t="s">
        <v>64</v>
      </c>
      <c r="G7" s="51" t="s">
        <v>65</v>
      </c>
      <c r="H7" s="51"/>
      <c r="I7" s="51" t="s">
        <v>31</v>
      </c>
      <c r="J7" s="51" t="s">
        <v>66</v>
      </c>
      <c r="K7" s="51" t="s">
        <v>48</v>
      </c>
      <c r="L7" s="51" t="s">
        <v>67</v>
      </c>
      <c r="M7" s="53" t="s">
        <v>68</v>
      </c>
      <c r="N7" s="51"/>
      <c r="O7" s="51"/>
      <c r="P7" s="51"/>
      <c r="Q7" s="51" t="s">
        <v>424</v>
      </c>
      <c r="R7" s="51" t="s">
        <v>33</v>
      </c>
      <c r="S7" s="51" t="s">
        <v>34</v>
      </c>
      <c r="T7" s="50">
        <v>46157</v>
      </c>
      <c r="U7" s="51" t="s">
        <v>35</v>
      </c>
      <c r="V7" s="50">
        <v>46146</v>
      </c>
      <c r="W7" s="50">
        <v>46146</v>
      </c>
      <c r="X7" s="51" t="s">
        <v>69</v>
      </c>
    </row>
    <row r="8" spans="1:24" s="49" customFormat="1" ht="42" x14ac:dyDescent="0.2">
      <c r="A8" s="50">
        <v>46149</v>
      </c>
      <c r="B8" s="51" t="s">
        <v>25</v>
      </c>
      <c r="C8" s="51" t="s">
        <v>51</v>
      </c>
      <c r="D8" s="51" t="s">
        <v>70</v>
      </c>
      <c r="E8" s="80" t="s">
        <v>71</v>
      </c>
      <c r="F8" s="51" t="s">
        <v>72</v>
      </c>
      <c r="G8" s="51" t="s">
        <v>73</v>
      </c>
      <c r="H8" s="51" t="s">
        <v>74</v>
      </c>
      <c r="I8" s="51" t="s">
        <v>75</v>
      </c>
      <c r="J8" s="51" t="s">
        <v>42</v>
      </c>
      <c r="K8" s="51" t="s">
        <v>48</v>
      </c>
      <c r="L8" s="51">
        <v>9909930880</v>
      </c>
      <c r="M8" s="53" t="s">
        <v>76</v>
      </c>
      <c r="N8" s="51"/>
      <c r="O8" s="51"/>
      <c r="P8" s="51"/>
      <c r="Q8" s="80" t="s">
        <v>421</v>
      </c>
      <c r="R8" s="51" t="s">
        <v>33</v>
      </c>
      <c r="S8" s="51" t="s">
        <v>34</v>
      </c>
      <c r="T8" s="50" t="s">
        <v>427</v>
      </c>
      <c r="U8" s="51" t="s">
        <v>35</v>
      </c>
      <c r="V8" s="50">
        <v>46138</v>
      </c>
      <c r="W8" s="50">
        <v>46147</v>
      </c>
      <c r="X8" s="51" t="s">
        <v>42</v>
      </c>
    </row>
    <row r="9" spans="1:24" s="49" customFormat="1" ht="28" x14ac:dyDescent="0.2">
      <c r="A9" s="50">
        <v>46150</v>
      </c>
      <c r="B9" s="51" t="s">
        <v>25</v>
      </c>
      <c r="C9" s="51" t="s">
        <v>51</v>
      </c>
      <c r="D9" s="51" t="s">
        <v>77</v>
      </c>
      <c r="E9" s="51" t="s">
        <v>78</v>
      </c>
      <c r="F9" s="51" t="s">
        <v>79</v>
      </c>
      <c r="G9" s="51" t="s">
        <v>80</v>
      </c>
      <c r="H9" s="51" t="s">
        <v>81</v>
      </c>
      <c r="I9" s="51" t="s">
        <v>31</v>
      </c>
      <c r="J9" s="51" t="s">
        <v>82</v>
      </c>
      <c r="K9" s="51"/>
      <c r="L9" s="51">
        <v>9033042978</v>
      </c>
      <c r="M9" s="53" t="s">
        <v>83</v>
      </c>
      <c r="N9" s="51"/>
      <c r="O9" s="51"/>
      <c r="P9" s="51"/>
      <c r="Q9" s="51" t="s">
        <v>425</v>
      </c>
      <c r="R9" s="51" t="s">
        <v>33</v>
      </c>
      <c r="S9" s="51" t="s">
        <v>34</v>
      </c>
      <c r="T9" s="50">
        <v>46162</v>
      </c>
      <c r="U9" s="51" t="s">
        <v>35</v>
      </c>
      <c r="V9" s="50">
        <v>46150</v>
      </c>
      <c r="W9" s="50">
        <v>46150</v>
      </c>
      <c r="X9" s="51"/>
    </row>
    <row r="10" spans="1:24" s="49" customFormat="1" ht="28" x14ac:dyDescent="0.2">
      <c r="A10" s="50">
        <v>46153</v>
      </c>
      <c r="B10" s="51" t="s">
        <v>25</v>
      </c>
      <c r="C10" s="51" t="s">
        <v>51</v>
      </c>
      <c r="D10" s="51" t="s">
        <v>84</v>
      </c>
      <c r="E10" s="51" t="s">
        <v>85</v>
      </c>
      <c r="F10" s="51" t="s">
        <v>86</v>
      </c>
      <c r="G10" s="51" t="s">
        <v>87</v>
      </c>
      <c r="H10" s="51" t="s">
        <v>88</v>
      </c>
      <c r="I10" s="51" t="s">
        <v>31</v>
      </c>
      <c r="J10" s="51" t="s">
        <v>89</v>
      </c>
      <c r="K10" s="51" t="s">
        <v>48</v>
      </c>
      <c r="L10" s="51" t="s">
        <v>90</v>
      </c>
      <c r="M10" s="51" t="s">
        <v>91</v>
      </c>
      <c r="N10" s="51"/>
      <c r="O10" s="51"/>
      <c r="P10" s="51"/>
      <c r="Q10" s="51" t="s">
        <v>422</v>
      </c>
      <c r="R10" s="51" t="s">
        <v>33</v>
      </c>
      <c r="S10" s="51" t="s">
        <v>34</v>
      </c>
      <c r="T10" s="50">
        <v>46157</v>
      </c>
      <c r="U10" s="51" t="s">
        <v>35</v>
      </c>
      <c r="V10" s="50">
        <v>46146</v>
      </c>
      <c r="W10" s="50">
        <v>46146</v>
      </c>
      <c r="X10" s="51" t="s">
        <v>92</v>
      </c>
    </row>
    <row r="11" spans="1:24" s="49" customFormat="1" x14ac:dyDescent="0.2">
      <c r="A11" s="54">
        <v>46153</v>
      </c>
      <c r="B11" s="55" t="s">
        <v>25</v>
      </c>
      <c r="C11" s="55" t="s">
        <v>51</v>
      </c>
      <c r="D11" s="55" t="s">
        <v>93</v>
      </c>
      <c r="E11" s="55" t="s">
        <v>94</v>
      </c>
      <c r="F11" s="55"/>
      <c r="G11" s="55"/>
      <c r="H11" s="55"/>
      <c r="I11" s="55" t="s">
        <v>31</v>
      </c>
      <c r="J11" s="55" t="s">
        <v>95</v>
      </c>
      <c r="K11" s="55"/>
      <c r="L11" s="55">
        <v>8238053156</v>
      </c>
      <c r="M11" s="55"/>
      <c r="N11" s="55"/>
      <c r="O11" s="55"/>
      <c r="P11" s="55"/>
      <c r="Q11" s="55" t="s">
        <v>422</v>
      </c>
      <c r="R11" s="55"/>
      <c r="S11" s="55"/>
      <c r="T11" s="54"/>
      <c r="U11" s="55"/>
      <c r="V11" s="54">
        <v>46153</v>
      </c>
      <c r="W11" s="54">
        <v>46153</v>
      </c>
      <c r="X11" s="55"/>
    </row>
    <row r="12" spans="1:24" s="49" customFormat="1" ht="28" x14ac:dyDescent="0.2">
      <c r="A12" s="54">
        <v>46154</v>
      </c>
      <c r="B12" s="55" t="s">
        <v>25</v>
      </c>
      <c r="C12" s="55" t="s">
        <v>96</v>
      </c>
      <c r="D12" s="55" t="s">
        <v>97</v>
      </c>
      <c r="E12" s="55" t="s">
        <v>98</v>
      </c>
      <c r="F12" s="55" t="s">
        <v>99</v>
      </c>
      <c r="G12" s="55" t="s">
        <v>100</v>
      </c>
      <c r="H12" s="55" t="s">
        <v>101</v>
      </c>
      <c r="I12" s="55" t="s">
        <v>102</v>
      </c>
      <c r="J12" s="55" t="s">
        <v>103</v>
      </c>
      <c r="K12" s="55" t="s">
        <v>104</v>
      </c>
      <c r="L12" s="55">
        <v>9821509243</v>
      </c>
      <c r="M12" s="55" t="s">
        <v>105</v>
      </c>
      <c r="N12" s="55"/>
      <c r="O12" s="55"/>
      <c r="P12" s="55"/>
      <c r="Q12" s="80" t="s">
        <v>426</v>
      </c>
      <c r="R12" s="55"/>
      <c r="S12" s="55"/>
      <c r="T12" s="55" t="s">
        <v>427</v>
      </c>
      <c r="U12" s="55"/>
      <c r="V12" s="54">
        <v>46154</v>
      </c>
      <c r="W12" s="54">
        <v>46154</v>
      </c>
      <c r="X12" s="55"/>
    </row>
    <row r="13" spans="1:24" s="49" customFormat="1" ht="28" x14ac:dyDescent="0.2">
      <c r="A13" s="54">
        <v>46154</v>
      </c>
      <c r="B13" s="55" t="s">
        <v>25</v>
      </c>
      <c r="C13" s="55" t="s">
        <v>36</v>
      </c>
      <c r="D13" s="55" t="s">
        <v>106</v>
      </c>
      <c r="E13" s="55" t="s">
        <v>107</v>
      </c>
      <c r="F13" s="55" t="s">
        <v>108</v>
      </c>
      <c r="G13" s="55" t="s">
        <v>109</v>
      </c>
      <c r="H13" s="55" t="s">
        <v>110</v>
      </c>
      <c r="I13" s="55" t="s">
        <v>111</v>
      </c>
      <c r="J13" s="55" t="s">
        <v>95</v>
      </c>
      <c r="K13" s="55"/>
      <c r="L13" s="55">
        <v>7203814141</v>
      </c>
      <c r="M13" s="55" t="s">
        <v>112</v>
      </c>
      <c r="N13" s="55"/>
      <c r="O13" s="55"/>
      <c r="P13" s="55"/>
      <c r="Q13" s="55" t="s">
        <v>422</v>
      </c>
      <c r="R13" s="55"/>
      <c r="S13" s="55"/>
      <c r="T13" s="55"/>
      <c r="U13" s="55"/>
      <c r="V13" s="54">
        <v>46154</v>
      </c>
      <c r="W13" s="54">
        <v>46154</v>
      </c>
      <c r="X13" s="55"/>
    </row>
    <row r="14" spans="1:24" s="49" customFormat="1" ht="42" x14ac:dyDescent="0.2">
      <c r="A14" s="54">
        <v>46155</v>
      </c>
      <c r="B14" s="55" t="s">
        <v>25</v>
      </c>
      <c r="C14" s="55" t="s">
        <v>51</v>
      </c>
      <c r="D14" s="55" t="s">
        <v>113</v>
      </c>
      <c r="E14" s="55" t="s">
        <v>114</v>
      </c>
      <c r="F14" s="55"/>
      <c r="G14" s="55" t="s">
        <v>115</v>
      </c>
      <c r="H14" s="55" t="s">
        <v>116</v>
      </c>
      <c r="I14" s="55" t="s">
        <v>31</v>
      </c>
      <c r="J14" s="56" t="s">
        <v>348</v>
      </c>
      <c r="K14" s="55"/>
      <c r="L14" s="55"/>
      <c r="M14" s="55"/>
      <c r="N14" s="55"/>
      <c r="O14" s="55"/>
      <c r="P14" s="55"/>
      <c r="Q14" s="55" t="s">
        <v>423</v>
      </c>
      <c r="R14" s="55"/>
      <c r="S14" s="55"/>
      <c r="T14" s="55"/>
      <c r="U14" s="55"/>
      <c r="V14" s="54">
        <v>46155</v>
      </c>
      <c r="W14" s="54">
        <v>46155</v>
      </c>
      <c r="X14" s="55"/>
    </row>
    <row r="15" spans="1:24" s="49" customFormat="1" ht="28" x14ac:dyDescent="0.2">
      <c r="A15" s="54">
        <v>46155</v>
      </c>
      <c r="B15" s="55" t="s">
        <v>25</v>
      </c>
      <c r="C15" s="55" t="s">
        <v>51</v>
      </c>
      <c r="D15" s="55" t="s">
        <v>117</v>
      </c>
      <c r="E15" s="55" t="s">
        <v>118</v>
      </c>
      <c r="F15" s="55" t="s">
        <v>39</v>
      </c>
      <c r="G15" s="55" t="s">
        <v>119</v>
      </c>
      <c r="H15" s="55" t="s">
        <v>120</v>
      </c>
      <c r="I15" s="55" t="s">
        <v>31</v>
      </c>
      <c r="J15" s="55" t="s">
        <v>71</v>
      </c>
      <c r="K15" s="55"/>
      <c r="L15" s="55">
        <v>7777966099</v>
      </c>
      <c r="M15" s="55" t="s">
        <v>121</v>
      </c>
      <c r="N15" s="55"/>
      <c r="O15" s="55"/>
      <c r="P15" s="55"/>
      <c r="Q15" s="55" t="s">
        <v>422</v>
      </c>
      <c r="R15" s="55"/>
      <c r="S15" s="55"/>
      <c r="T15" s="54"/>
      <c r="U15" s="55"/>
      <c r="V15" s="54">
        <v>46155</v>
      </c>
      <c r="W15" s="54">
        <v>46155</v>
      </c>
      <c r="X15" s="55"/>
    </row>
    <row r="16" spans="1:24" s="49" customFormat="1" ht="28" x14ac:dyDescent="0.2">
      <c r="A16" s="54">
        <v>46155</v>
      </c>
      <c r="B16" s="55" t="s">
        <v>25</v>
      </c>
      <c r="C16" s="55" t="s">
        <v>51</v>
      </c>
      <c r="D16" s="55" t="s">
        <v>122</v>
      </c>
      <c r="E16" s="55" t="s">
        <v>123</v>
      </c>
      <c r="F16" s="55" t="s">
        <v>124</v>
      </c>
      <c r="G16" s="55" t="s">
        <v>125</v>
      </c>
      <c r="H16" s="55" t="s">
        <v>126</v>
      </c>
      <c r="I16" s="55" t="s">
        <v>31</v>
      </c>
      <c r="J16" s="55" t="s">
        <v>42</v>
      </c>
      <c r="K16" s="55"/>
      <c r="L16" s="55">
        <v>9327521343</v>
      </c>
      <c r="M16" s="55" t="s">
        <v>127</v>
      </c>
      <c r="N16" s="55"/>
      <c r="O16" s="55"/>
      <c r="P16" s="55"/>
      <c r="Q16" s="55" t="s">
        <v>425</v>
      </c>
      <c r="R16" s="55"/>
      <c r="S16" s="55"/>
      <c r="T16" s="55"/>
      <c r="U16" s="55"/>
      <c r="V16" s="54">
        <v>46155</v>
      </c>
      <c r="W16" s="54">
        <v>46155</v>
      </c>
      <c r="X16" s="55"/>
    </row>
    <row r="17" spans="1:24" s="49" customFormat="1" ht="28" x14ac:dyDescent="0.2">
      <c r="A17" s="54">
        <v>46156</v>
      </c>
      <c r="B17" s="55" t="s">
        <v>25</v>
      </c>
      <c r="C17" s="55" t="s">
        <v>128</v>
      </c>
      <c r="D17" s="55" t="s">
        <v>129</v>
      </c>
      <c r="E17" s="80" t="s">
        <v>130</v>
      </c>
      <c r="F17" s="55" t="s">
        <v>131</v>
      </c>
      <c r="G17" s="55" t="s">
        <v>132</v>
      </c>
      <c r="H17" s="55" t="s">
        <v>133</v>
      </c>
      <c r="I17" s="55" t="s">
        <v>31</v>
      </c>
      <c r="J17" s="55" t="s">
        <v>134</v>
      </c>
      <c r="K17" s="55"/>
      <c r="L17" s="55">
        <v>9619964799</v>
      </c>
      <c r="M17" s="55" t="s">
        <v>135</v>
      </c>
      <c r="N17" s="55"/>
      <c r="O17" s="55"/>
      <c r="P17" s="55"/>
      <c r="Q17" s="80" t="s">
        <v>421</v>
      </c>
      <c r="R17" s="55"/>
      <c r="S17" s="55"/>
      <c r="T17" s="54" t="s">
        <v>427</v>
      </c>
      <c r="U17" s="55" t="s">
        <v>60</v>
      </c>
      <c r="V17" s="54">
        <v>46155</v>
      </c>
      <c r="W17" s="54">
        <v>46156</v>
      </c>
      <c r="X17" s="55"/>
    </row>
    <row r="18" spans="1:24" s="49" customFormat="1" x14ac:dyDescent="0.2">
      <c r="A18" s="54">
        <v>46157</v>
      </c>
      <c r="B18" s="55" t="s">
        <v>25</v>
      </c>
      <c r="C18" s="55" t="s">
        <v>128</v>
      </c>
      <c r="D18" s="55" t="s">
        <v>136</v>
      </c>
      <c r="E18" s="55" t="s">
        <v>137</v>
      </c>
      <c r="F18" s="55" t="s">
        <v>138</v>
      </c>
      <c r="G18" s="55" t="s">
        <v>139</v>
      </c>
      <c r="H18" s="55" t="s">
        <v>140</v>
      </c>
      <c r="I18" s="55" t="s">
        <v>75</v>
      </c>
      <c r="J18" s="55" t="s">
        <v>71</v>
      </c>
      <c r="K18" s="55"/>
      <c r="L18" s="55">
        <v>9099330001</v>
      </c>
      <c r="M18" s="55" t="s">
        <v>141</v>
      </c>
      <c r="N18" s="55"/>
      <c r="O18" s="55"/>
      <c r="P18" s="55"/>
      <c r="Q18" s="55" t="s">
        <v>422</v>
      </c>
      <c r="R18" s="55"/>
      <c r="S18" s="55"/>
      <c r="T18" s="54"/>
      <c r="U18" s="55"/>
      <c r="V18" s="54">
        <v>46157</v>
      </c>
      <c r="W18" s="54">
        <v>46157</v>
      </c>
      <c r="X18" s="55"/>
    </row>
    <row r="19" spans="1:24" s="49" customFormat="1" ht="28" x14ac:dyDescent="0.2">
      <c r="A19" s="54">
        <v>46157</v>
      </c>
      <c r="B19" s="55" t="s">
        <v>25</v>
      </c>
      <c r="C19" s="55" t="s">
        <v>142</v>
      </c>
      <c r="D19" s="55" t="s">
        <v>143</v>
      </c>
      <c r="E19" s="55" t="s">
        <v>144</v>
      </c>
      <c r="F19" s="55" t="s">
        <v>145</v>
      </c>
      <c r="G19" s="55" t="s">
        <v>146</v>
      </c>
      <c r="H19" s="55" t="s">
        <v>147</v>
      </c>
      <c r="I19" s="55" t="s">
        <v>31</v>
      </c>
      <c r="J19" s="55" t="s">
        <v>71</v>
      </c>
      <c r="K19" s="55"/>
      <c r="L19" s="55">
        <v>7433011177</v>
      </c>
      <c r="M19" s="55" t="s">
        <v>148</v>
      </c>
      <c r="N19" s="55"/>
      <c r="O19" s="55"/>
      <c r="P19" s="55"/>
      <c r="Q19" s="55" t="s">
        <v>422</v>
      </c>
      <c r="R19" s="55"/>
      <c r="S19" s="55"/>
      <c r="T19" s="54"/>
      <c r="U19" s="55"/>
      <c r="V19" s="54">
        <v>46157</v>
      </c>
      <c r="W19" s="54">
        <v>46157</v>
      </c>
      <c r="X19" s="55"/>
    </row>
    <row r="20" spans="1:24" s="49" customFormat="1" ht="56" x14ac:dyDescent="0.2">
      <c r="A20" s="54">
        <v>46158</v>
      </c>
      <c r="B20" s="55" t="s">
        <v>25</v>
      </c>
      <c r="C20" s="55" t="s">
        <v>51</v>
      </c>
      <c r="D20" s="55" t="s">
        <v>149</v>
      </c>
      <c r="E20" s="55" t="s">
        <v>150</v>
      </c>
      <c r="F20" s="55" t="s">
        <v>151</v>
      </c>
      <c r="G20" s="55" t="s">
        <v>152</v>
      </c>
      <c r="H20" s="55" t="s">
        <v>153</v>
      </c>
      <c r="I20" s="55" t="s">
        <v>31</v>
      </c>
      <c r="J20" s="55" t="s">
        <v>85</v>
      </c>
      <c r="K20" s="55"/>
      <c r="L20" s="55">
        <v>9879610119</v>
      </c>
      <c r="M20" s="55" t="s">
        <v>154</v>
      </c>
      <c r="N20" s="55"/>
      <c r="O20" s="55"/>
      <c r="P20" s="55"/>
      <c r="Q20" s="55" t="s">
        <v>422</v>
      </c>
      <c r="R20" s="55"/>
      <c r="S20" s="55"/>
      <c r="T20" s="54"/>
      <c r="U20" s="55" t="s">
        <v>60</v>
      </c>
      <c r="V20" s="54">
        <v>46154</v>
      </c>
      <c r="W20" s="54">
        <v>46158</v>
      </c>
      <c r="X20" s="55"/>
    </row>
    <row r="21" spans="1:24" x14ac:dyDescent="0.2">
      <c r="A21" s="39" t="s">
        <v>155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40"/>
      <c r="U21" s="38"/>
      <c r="V21" s="40"/>
      <c r="W21" s="40"/>
      <c r="X21" s="38"/>
    </row>
    <row r="22" spans="1:24" ht="22" customHeight="1" x14ac:dyDescent="0.2">
      <c r="A22" s="41"/>
      <c r="B22" s="42"/>
      <c r="C22" s="42"/>
      <c r="D22" s="42" t="s">
        <v>156</v>
      </c>
      <c r="E22" s="42" t="s">
        <v>157</v>
      </c>
      <c r="F22" s="42" t="s">
        <v>39</v>
      </c>
      <c r="G22" s="42" t="s">
        <v>158</v>
      </c>
      <c r="H22" s="42" t="s">
        <v>41</v>
      </c>
      <c r="I22" s="42" t="s">
        <v>31</v>
      </c>
      <c r="J22" s="42" t="s">
        <v>66</v>
      </c>
      <c r="K22" s="42" t="s">
        <v>48</v>
      </c>
      <c r="L22" s="42" t="s">
        <v>159</v>
      </c>
      <c r="M22" s="43" t="s">
        <v>160</v>
      </c>
      <c r="N22" s="33"/>
      <c r="O22" s="33"/>
      <c r="P22" s="33"/>
      <c r="Q22" s="33"/>
      <c r="R22" s="42" t="s">
        <v>33</v>
      </c>
      <c r="S22" s="42" t="s">
        <v>34</v>
      </c>
      <c r="T22" s="41">
        <v>46157</v>
      </c>
      <c r="U22" s="42" t="s">
        <v>35</v>
      </c>
      <c r="V22" s="41">
        <v>46146</v>
      </c>
      <c r="W22" s="41">
        <v>46146</v>
      </c>
      <c r="X22" s="33" t="s">
        <v>69</v>
      </c>
    </row>
    <row r="23" spans="1:24" ht="22" customHeight="1" x14ac:dyDescent="0.2">
      <c r="A23" s="48"/>
      <c r="B23" s="48"/>
      <c r="C23" s="48"/>
      <c r="D23" s="48" t="s">
        <v>161</v>
      </c>
      <c r="E23" s="48" t="s">
        <v>162</v>
      </c>
      <c r="F23" s="48"/>
      <c r="G23" s="48"/>
      <c r="H23" s="48"/>
      <c r="I23" s="48"/>
      <c r="J23" s="48"/>
      <c r="K23" s="48" t="s">
        <v>163</v>
      </c>
      <c r="L23" s="48"/>
      <c r="M23" s="44" t="s">
        <v>164</v>
      </c>
      <c r="N23" s="35"/>
      <c r="O23" s="35"/>
      <c r="P23" s="35"/>
      <c r="Q23" s="35"/>
      <c r="R23" s="48"/>
      <c r="S23" s="48"/>
      <c r="T23" s="48"/>
      <c r="U23" s="48"/>
      <c r="V23" s="45">
        <v>46147</v>
      </c>
      <c r="W23" s="45">
        <v>46147</v>
      </c>
      <c r="X23" s="35"/>
    </row>
    <row r="24" spans="1:24" ht="22" customHeight="1" x14ac:dyDescent="0.2">
      <c r="A24" s="47"/>
      <c r="B24" s="47"/>
      <c r="C24" s="47"/>
      <c r="D24" s="47" t="s">
        <v>165</v>
      </c>
      <c r="E24" s="47" t="s">
        <v>166</v>
      </c>
      <c r="F24" s="34" t="s">
        <v>167</v>
      </c>
      <c r="G24" s="34" t="s">
        <v>168</v>
      </c>
      <c r="H24" s="47" t="s">
        <v>169</v>
      </c>
      <c r="I24" s="47" t="s">
        <v>31</v>
      </c>
      <c r="J24" s="47"/>
      <c r="K24" s="47"/>
      <c r="L24" s="47"/>
      <c r="M24" s="47" t="s">
        <v>170</v>
      </c>
      <c r="N24" s="34"/>
      <c r="O24" s="34"/>
      <c r="P24" s="34"/>
      <c r="Q24" s="34"/>
      <c r="R24" s="47"/>
      <c r="S24" s="47"/>
      <c r="T24" s="47"/>
      <c r="U24" s="47"/>
      <c r="V24" s="46">
        <v>46147</v>
      </c>
      <c r="W24" s="46">
        <v>46147</v>
      </c>
      <c r="X24" s="34"/>
    </row>
    <row r="25" spans="1:24" ht="22" customHeight="1" x14ac:dyDescent="0.2">
      <c r="A25" s="48"/>
      <c r="B25" s="48"/>
      <c r="C25" s="48"/>
      <c r="D25" s="48" t="s">
        <v>171</v>
      </c>
      <c r="E25" s="48" t="s">
        <v>172</v>
      </c>
      <c r="F25" s="48"/>
      <c r="G25" s="48"/>
      <c r="H25" s="48"/>
      <c r="I25" s="48" t="s">
        <v>31</v>
      </c>
      <c r="J25" s="48" t="s">
        <v>173</v>
      </c>
      <c r="K25" s="48"/>
      <c r="L25" s="48"/>
      <c r="M25" s="48" t="s">
        <v>174</v>
      </c>
      <c r="N25" s="35"/>
      <c r="O25" s="35"/>
      <c r="P25" s="35"/>
      <c r="Q25" s="35"/>
      <c r="R25" s="48"/>
      <c r="S25" s="48"/>
      <c r="T25" s="45"/>
      <c r="U25" s="48"/>
      <c r="V25" s="45">
        <v>46147</v>
      </c>
      <c r="W25" s="45">
        <v>46147</v>
      </c>
      <c r="X25" s="35"/>
    </row>
    <row r="26" spans="1:24" ht="22" customHeight="1" x14ac:dyDescent="0.2">
      <c r="A26" s="42"/>
      <c r="B26" s="42"/>
      <c r="C26" s="42"/>
      <c r="D26" s="42" t="s">
        <v>175</v>
      </c>
      <c r="E26" s="42" t="s">
        <v>176</v>
      </c>
      <c r="F26" s="42"/>
      <c r="G26" s="42"/>
      <c r="H26" s="42"/>
      <c r="I26" s="42" t="s">
        <v>31</v>
      </c>
      <c r="J26" s="42"/>
      <c r="K26" s="42"/>
      <c r="L26" s="42"/>
      <c r="M26" s="42"/>
      <c r="N26" s="33"/>
      <c r="O26" s="33"/>
      <c r="P26" s="33"/>
      <c r="Q26" s="33"/>
      <c r="R26" s="42" t="s">
        <v>33</v>
      </c>
      <c r="S26" s="42" t="s">
        <v>34</v>
      </c>
      <c r="T26" s="41">
        <v>46162</v>
      </c>
      <c r="U26" s="42" t="s">
        <v>35</v>
      </c>
      <c r="V26" s="41">
        <v>46148</v>
      </c>
      <c r="W26" s="41">
        <v>46148</v>
      </c>
      <c r="X26" s="33"/>
    </row>
    <row r="27" spans="1:24" ht="22" customHeight="1" x14ac:dyDescent="0.2">
      <c r="A27" s="42"/>
      <c r="B27" s="42"/>
      <c r="C27" s="42"/>
      <c r="D27" s="42" t="s">
        <v>177</v>
      </c>
      <c r="E27" s="42" t="s">
        <v>178</v>
      </c>
      <c r="F27" s="42"/>
      <c r="G27" s="42"/>
      <c r="H27" s="42"/>
      <c r="I27" s="42" t="s">
        <v>31</v>
      </c>
      <c r="J27" s="42"/>
      <c r="K27" s="42"/>
      <c r="L27" s="42"/>
      <c r="M27" s="42"/>
      <c r="N27" s="33"/>
      <c r="O27" s="33"/>
      <c r="P27" s="33"/>
      <c r="Q27" s="33"/>
      <c r="R27" s="42" t="s">
        <v>33</v>
      </c>
      <c r="S27" s="42" t="s">
        <v>34</v>
      </c>
      <c r="T27" s="41">
        <v>46162</v>
      </c>
      <c r="U27" s="42" t="s">
        <v>35</v>
      </c>
      <c r="V27" s="41">
        <v>46148</v>
      </c>
      <c r="W27" s="41">
        <v>46148</v>
      </c>
      <c r="X27" s="33"/>
    </row>
    <row r="28" spans="1:24" ht="22" customHeight="1" x14ac:dyDescent="0.2">
      <c r="A28" s="42"/>
      <c r="B28" s="42"/>
      <c r="C28" s="42"/>
      <c r="D28" s="42" t="s">
        <v>179</v>
      </c>
      <c r="E28" s="42" t="s">
        <v>180</v>
      </c>
      <c r="F28" s="42"/>
      <c r="G28" s="42"/>
      <c r="H28" s="42"/>
      <c r="I28" s="42" t="s">
        <v>31</v>
      </c>
      <c r="J28" s="42" t="s">
        <v>42</v>
      </c>
      <c r="K28" s="42"/>
      <c r="L28" s="42"/>
      <c r="M28" s="42"/>
      <c r="N28" s="33"/>
      <c r="O28" s="33"/>
      <c r="P28" s="33"/>
      <c r="Q28" s="33"/>
      <c r="R28" s="42" t="s">
        <v>33</v>
      </c>
      <c r="S28" s="42" t="s">
        <v>34</v>
      </c>
      <c r="T28" s="41">
        <v>46162</v>
      </c>
      <c r="U28" s="42" t="s">
        <v>35</v>
      </c>
      <c r="V28" s="41">
        <v>46148</v>
      </c>
      <c r="W28" s="41">
        <v>46148</v>
      </c>
      <c r="X28" s="33"/>
    </row>
    <row r="29" spans="1:24" ht="22" customHeight="1" x14ac:dyDescent="0.2">
      <c r="A29" s="42"/>
      <c r="B29" s="42"/>
      <c r="C29" s="42"/>
      <c r="D29" s="42" t="s">
        <v>181</v>
      </c>
      <c r="E29" s="42" t="s">
        <v>182</v>
      </c>
      <c r="F29" s="42"/>
      <c r="G29" s="42"/>
      <c r="H29" s="42"/>
      <c r="I29" s="42" t="s">
        <v>31</v>
      </c>
      <c r="J29" s="42" t="s">
        <v>42</v>
      </c>
      <c r="K29" s="42"/>
      <c r="L29" s="42"/>
      <c r="M29" s="42"/>
      <c r="N29" s="33"/>
      <c r="O29" s="33"/>
      <c r="P29" s="33"/>
      <c r="Q29" s="33"/>
      <c r="R29" s="42" t="s">
        <v>33</v>
      </c>
      <c r="S29" s="42" t="s">
        <v>34</v>
      </c>
      <c r="T29" s="41">
        <v>46162</v>
      </c>
      <c r="U29" s="42" t="s">
        <v>35</v>
      </c>
      <c r="V29" s="41">
        <v>46148</v>
      </c>
      <c r="W29" s="41">
        <v>46148</v>
      </c>
      <c r="X29" s="33"/>
    </row>
    <row r="30" spans="1:24" ht="22" customHeight="1" x14ac:dyDescent="0.2">
      <c r="A30" s="42"/>
      <c r="B30" s="42"/>
      <c r="C30" s="42"/>
      <c r="D30" s="42" t="s">
        <v>183</v>
      </c>
      <c r="E30" s="42" t="s">
        <v>184</v>
      </c>
      <c r="F30" s="42"/>
      <c r="G30" s="42"/>
      <c r="H30" s="42"/>
      <c r="I30" s="42" t="s">
        <v>185</v>
      </c>
      <c r="J30" s="42" t="s">
        <v>103</v>
      </c>
      <c r="K30" s="42"/>
      <c r="L30" s="42"/>
      <c r="M30" s="42"/>
      <c r="N30" s="33"/>
      <c r="O30" s="33"/>
      <c r="P30" s="33"/>
      <c r="Q30" s="33"/>
      <c r="R30" s="42" t="s">
        <v>33</v>
      </c>
      <c r="S30" s="42" t="s">
        <v>34</v>
      </c>
      <c r="T30" s="41">
        <v>46162</v>
      </c>
      <c r="U30" s="42" t="s">
        <v>35</v>
      </c>
      <c r="V30" s="41">
        <v>46148</v>
      </c>
      <c r="W30" s="41">
        <v>46148</v>
      </c>
      <c r="X30" s="33"/>
    </row>
    <row r="31" spans="1:24" ht="22" customHeight="1" x14ac:dyDescent="0.2">
      <c r="A31" s="48"/>
      <c r="B31" s="48"/>
      <c r="C31" s="48"/>
      <c r="D31" s="48" t="s">
        <v>186</v>
      </c>
      <c r="E31" s="48" t="s">
        <v>187</v>
      </c>
      <c r="F31" s="48"/>
      <c r="G31" s="48"/>
      <c r="H31" s="48"/>
      <c r="I31" s="48"/>
      <c r="J31" s="48" t="s">
        <v>38</v>
      </c>
      <c r="K31" s="48" t="s">
        <v>188</v>
      </c>
      <c r="L31" s="48"/>
      <c r="M31" s="48"/>
      <c r="N31" s="35"/>
      <c r="O31" s="35"/>
      <c r="P31" s="35"/>
      <c r="Q31" s="35"/>
      <c r="R31" s="48"/>
      <c r="S31" s="48"/>
      <c r="T31" s="48"/>
      <c r="U31" s="48"/>
      <c r="V31" s="45">
        <v>46083</v>
      </c>
      <c r="W31" s="45">
        <v>46083</v>
      </c>
      <c r="X31" s="35"/>
    </row>
    <row r="32" spans="1:24" ht="22" customHeight="1" x14ac:dyDescent="0.2">
      <c r="A32" s="47"/>
      <c r="B32" s="47" t="s">
        <v>189</v>
      </c>
      <c r="C32" s="47"/>
      <c r="D32" s="47" t="s">
        <v>190</v>
      </c>
      <c r="E32" s="47" t="s">
        <v>191</v>
      </c>
      <c r="F32" s="47" t="s">
        <v>39</v>
      </c>
      <c r="G32" s="34" t="s">
        <v>192</v>
      </c>
      <c r="H32" s="47" t="s">
        <v>193</v>
      </c>
      <c r="I32" s="47" t="s">
        <v>194</v>
      </c>
      <c r="J32" s="47" t="s">
        <v>71</v>
      </c>
      <c r="K32" s="47"/>
      <c r="L32" s="47">
        <v>9724488788</v>
      </c>
      <c r="M32" s="47" t="s">
        <v>195</v>
      </c>
      <c r="N32" s="34"/>
      <c r="O32" s="34"/>
      <c r="P32" s="34"/>
      <c r="Q32" s="34"/>
      <c r="R32" s="47"/>
      <c r="S32" s="47"/>
      <c r="T32" s="47"/>
      <c r="U32" s="47"/>
      <c r="V32" s="46">
        <v>46151</v>
      </c>
      <c r="W32" s="46">
        <v>46151</v>
      </c>
      <c r="X32" s="34"/>
    </row>
    <row r="33" spans="1:24" ht="22" customHeight="1" x14ac:dyDescent="0.2">
      <c r="A33" s="48"/>
      <c r="B33" s="48"/>
      <c r="C33" s="48"/>
      <c r="D33" s="48" t="s">
        <v>196</v>
      </c>
      <c r="E33" s="48" t="s">
        <v>197</v>
      </c>
      <c r="F33" s="48" t="s">
        <v>39</v>
      </c>
      <c r="G33" s="35" t="s">
        <v>73</v>
      </c>
      <c r="H33" s="48" t="s">
        <v>198</v>
      </c>
      <c r="I33" s="48" t="s">
        <v>31</v>
      </c>
      <c r="J33" s="48" t="s">
        <v>71</v>
      </c>
      <c r="K33" s="48"/>
      <c r="L33" s="48">
        <v>9824003101</v>
      </c>
      <c r="M33" s="48" t="s">
        <v>199</v>
      </c>
      <c r="N33" s="35"/>
      <c r="O33" s="35"/>
      <c r="P33" s="35"/>
      <c r="Q33" s="35"/>
      <c r="R33" s="48"/>
      <c r="S33" s="48"/>
      <c r="T33" s="48"/>
      <c r="U33" s="48"/>
      <c r="V33" s="48"/>
      <c r="W33" s="48" t="s">
        <v>200</v>
      </c>
      <c r="X33" s="35"/>
    </row>
    <row r="34" spans="1:24" ht="22" customHeight="1" x14ac:dyDescent="0.2">
      <c r="A34" s="47"/>
      <c r="B34" s="47"/>
      <c r="C34" s="47"/>
      <c r="D34" s="47" t="s">
        <v>201</v>
      </c>
      <c r="E34" s="47" t="s">
        <v>202</v>
      </c>
      <c r="F34" s="47" t="s">
        <v>39</v>
      </c>
      <c r="G34" s="47"/>
      <c r="H34" s="47"/>
      <c r="I34" s="47"/>
      <c r="J34" s="47" t="s">
        <v>71</v>
      </c>
      <c r="K34" s="47"/>
      <c r="L34" s="47">
        <v>9099070977</v>
      </c>
      <c r="M34" s="47" t="s">
        <v>203</v>
      </c>
      <c r="N34" s="34"/>
      <c r="O34" s="34"/>
      <c r="P34" s="34"/>
      <c r="Q34" s="34"/>
      <c r="R34" s="47"/>
      <c r="S34" s="47"/>
      <c r="T34" s="47"/>
      <c r="U34" s="47"/>
      <c r="V34" s="47"/>
      <c r="W34" s="47" t="s">
        <v>200</v>
      </c>
      <c r="X34" s="34"/>
    </row>
    <row r="35" spans="1:24" ht="22" customHeight="1" x14ac:dyDescent="0.2">
      <c r="A35" s="48"/>
      <c r="B35" s="48"/>
      <c r="C35" s="48"/>
      <c r="D35" s="48" t="s">
        <v>204</v>
      </c>
      <c r="E35" s="48" t="s">
        <v>205</v>
      </c>
      <c r="F35" s="48" t="s">
        <v>39</v>
      </c>
      <c r="G35" s="48"/>
      <c r="H35" s="48"/>
      <c r="I35" s="48"/>
      <c r="J35" s="48" t="s">
        <v>71</v>
      </c>
      <c r="K35" s="48"/>
      <c r="L35" s="48">
        <v>9924144097</v>
      </c>
      <c r="M35" s="48" t="s">
        <v>206</v>
      </c>
      <c r="N35" s="35"/>
      <c r="O35" s="35"/>
      <c r="P35" s="35"/>
      <c r="Q35" s="35"/>
      <c r="R35" s="48"/>
      <c r="S35" s="48"/>
      <c r="T35" s="48"/>
      <c r="U35" s="48"/>
      <c r="V35" s="48"/>
      <c r="W35" s="48" t="s">
        <v>200</v>
      </c>
      <c r="X35" s="35"/>
    </row>
    <row r="36" spans="1:24" ht="22" customHeight="1" x14ac:dyDescent="0.2">
      <c r="A36" s="47"/>
      <c r="B36" s="47"/>
      <c r="C36" s="47"/>
      <c r="D36" s="47" t="s">
        <v>207</v>
      </c>
      <c r="E36" s="81" t="s">
        <v>208</v>
      </c>
      <c r="F36" s="47" t="s">
        <v>39</v>
      </c>
      <c r="G36" s="47"/>
      <c r="H36" s="47"/>
      <c r="I36" s="47"/>
      <c r="J36" s="47" t="s">
        <v>71</v>
      </c>
      <c r="K36" s="47"/>
      <c r="L36" s="47">
        <v>9227917886</v>
      </c>
      <c r="M36" s="47" t="s">
        <v>209</v>
      </c>
      <c r="N36" s="34"/>
      <c r="O36" s="34"/>
      <c r="P36" s="34"/>
      <c r="Q36" s="82" t="s">
        <v>421</v>
      </c>
      <c r="R36" s="47"/>
      <c r="S36" s="47"/>
      <c r="T36" s="47" t="s">
        <v>428</v>
      </c>
      <c r="U36" s="47"/>
      <c r="V36" s="47"/>
      <c r="W36" s="47" t="s">
        <v>200</v>
      </c>
      <c r="X36" s="34"/>
    </row>
    <row r="37" spans="1:24" ht="22" customHeight="1" x14ac:dyDescent="0.2">
      <c r="A37" s="48"/>
      <c r="B37" s="48"/>
      <c r="C37" s="48"/>
      <c r="D37" s="48" t="s">
        <v>210</v>
      </c>
      <c r="E37" s="48" t="s">
        <v>211</v>
      </c>
      <c r="F37" s="48" t="s">
        <v>39</v>
      </c>
      <c r="G37" s="48"/>
      <c r="H37" s="48"/>
      <c r="I37" s="48"/>
      <c r="J37" s="48" t="s">
        <v>71</v>
      </c>
      <c r="K37" s="48" t="s">
        <v>212</v>
      </c>
      <c r="L37" s="48">
        <v>9824050761</v>
      </c>
      <c r="M37" s="48" t="s">
        <v>213</v>
      </c>
      <c r="N37" s="35"/>
      <c r="O37" s="35"/>
      <c r="P37" s="35"/>
      <c r="Q37" s="35"/>
      <c r="R37" s="48"/>
      <c r="S37" s="48"/>
      <c r="T37" s="48"/>
      <c r="U37" s="48"/>
      <c r="V37" s="48"/>
      <c r="W37" s="48" t="s">
        <v>200</v>
      </c>
      <c r="X37" s="35"/>
    </row>
    <row r="38" spans="1:24" ht="22" customHeight="1" x14ac:dyDescent="0.2">
      <c r="A38" s="47"/>
      <c r="B38" s="47"/>
      <c r="C38" s="47"/>
      <c r="D38" s="47" t="s">
        <v>214</v>
      </c>
      <c r="E38" s="47" t="s">
        <v>215</v>
      </c>
      <c r="F38" s="47" t="s">
        <v>145</v>
      </c>
      <c r="G38" s="47"/>
      <c r="H38" s="47"/>
      <c r="I38" s="47"/>
      <c r="J38" s="47" t="s">
        <v>71</v>
      </c>
      <c r="K38" s="47"/>
      <c r="L38" s="47">
        <v>9879200585</v>
      </c>
      <c r="M38" s="47" t="s">
        <v>216</v>
      </c>
      <c r="N38" s="34"/>
      <c r="O38" s="34"/>
      <c r="P38" s="34"/>
      <c r="Q38" s="34"/>
      <c r="R38" s="47"/>
      <c r="S38" s="47"/>
      <c r="T38" s="47"/>
      <c r="U38" s="47"/>
      <c r="V38" s="46"/>
      <c r="W38" s="46" t="s">
        <v>200</v>
      </c>
      <c r="X38" s="34"/>
    </row>
    <row r="39" spans="1:24" ht="22" customHeight="1" x14ac:dyDescent="0.2">
      <c r="A39" s="48"/>
      <c r="B39" s="48"/>
      <c r="C39" s="48"/>
      <c r="D39" s="48" t="s">
        <v>217</v>
      </c>
      <c r="E39" s="48" t="s">
        <v>218</v>
      </c>
      <c r="F39" s="48"/>
      <c r="G39" s="48"/>
      <c r="H39" s="48"/>
      <c r="I39" s="48" t="s">
        <v>31</v>
      </c>
      <c r="J39" s="48" t="s">
        <v>85</v>
      </c>
      <c r="K39" s="48"/>
      <c r="L39" s="48">
        <v>9825152029</v>
      </c>
      <c r="M39" s="48"/>
      <c r="N39" s="35"/>
      <c r="O39" s="35"/>
      <c r="P39" s="35"/>
      <c r="Q39" s="35"/>
      <c r="R39" s="48"/>
      <c r="S39" s="48"/>
      <c r="T39" s="48"/>
      <c r="U39" s="48"/>
      <c r="V39" s="45">
        <v>46154</v>
      </c>
      <c r="W39" s="45">
        <v>46154</v>
      </c>
      <c r="X39" s="35"/>
    </row>
    <row r="40" spans="1:24" ht="22" customHeight="1" x14ac:dyDescent="0.2">
      <c r="A40" s="47"/>
      <c r="B40" s="47"/>
      <c r="C40" s="47"/>
      <c r="D40" s="47" t="s">
        <v>219</v>
      </c>
      <c r="E40" s="47" t="s">
        <v>220</v>
      </c>
      <c r="F40" s="47"/>
      <c r="G40" s="47"/>
      <c r="H40" s="47"/>
      <c r="I40" s="47" t="s">
        <v>31</v>
      </c>
      <c r="J40" s="47" t="s">
        <v>221</v>
      </c>
      <c r="K40" s="47"/>
      <c r="L40" s="47">
        <v>9819764433</v>
      </c>
      <c r="M40" s="47"/>
      <c r="N40" s="34"/>
      <c r="O40" s="34"/>
      <c r="P40" s="34"/>
      <c r="Q40" s="34"/>
      <c r="R40" s="47"/>
      <c r="S40" s="47"/>
      <c r="T40" s="47"/>
      <c r="U40" s="47"/>
      <c r="V40" s="46"/>
      <c r="W40" s="46"/>
      <c r="X40" s="34"/>
    </row>
    <row r="41" spans="1:24" ht="22" customHeight="1" x14ac:dyDescent="0.2">
      <c r="A41" s="48"/>
      <c r="B41" s="48"/>
      <c r="C41" s="48"/>
      <c r="D41" s="48" t="s">
        <v>222</v>
      </c>
      <c r="E41" s="81" t="s">
        <v>223</v>
      </c>
      <c r="F41" s="48"/>
      <c r="G41" s="48"/>
      <c r="H41" s="48"/>
      <c r="I41" s="48" t="s">
        <v>31</v>
      </c>
      <c r="J41" s="48" t="s">
        <v>103</v>
      </c>
      <c r="K41" s="48"/>
      <c r="L41" s="48">
        <v>9712999679</v>
      </c>
      <c r="M41" s="48"/>
      <c r="N41" s="35"/>
      <c r="O41" s="35"/>
      <c r="P41" s="35"/>
      <c r="Q41" s="35"/>
      <c r="R41" s="48"/>
      <c r="S41" s="48"/>
      <c r="T41" s="48"/>
      <c r="U41" s="48"/>
      <c r="V41" s="45">
        <v>46155</v>
      </c>
      <c r="W41" s="45">
        <v>46155</v>
      </c>
      <c r="X41" s="35"/>
    </row>
    <row r="42" spans="1:24" ht="22" customHeight="1" x14ac:dyDescent="0.2">
      <c r="A42" s="46"/>
      <c r="B42" s="47"/>
      <c r="C42" s="47"/>
      <c r="D42" s="47" t="s">
        <v>224</v>
      </c>
      <c r="E42" s="47" t="s">
        <v>225</v>
      </c>
      <c r="F42" s="47"/>
      <c r="G42" s="47"/>
      <c r="H42" s="47"/>
      <c r="I42" s="47" t="s">
        <v>111</v>
      </c>
      <c r="J42" s="47" t="s">
        <v>226</v>
      </c>
      <c r="K42" s="47" t="s">
        <v>227</v>
      </c>
      <c r="L42" s="47"/>
      <c r="M42" s="47"/>
      <c r="N42" s="34"/>
      <c r="O42" s="34"/>
      <c r="P42" s="34"/>
      <c r="Q42" s="82" t="s">
        <v>421</v>
      </c>
      <c r="R42" s="47"/>
      <c r="S42" s="47"/>
      <c r="T42" s="47" t="s">
        <v>428</v>
      </c>
      <c r="U42" s="47"/>
      <c r="V42" s="46">
        <v>46154</v>
      </c>
      <c r="W42" s="46">
        <v>46154</v>
      </c>
      <c r="X42" s="34"/>
    </row>
    <row r="43" spans="1:24" ht="22" customHeight="1" x14ac:dyDescent="0.2">
      <c r="A43" s="45"/>
      <c r="B43" s="48"/>
      <c r="C43" s="48"/>
      <c r="D43" s="48" t="s">
        <v>228</v>
      </c>
      <c r="E43" s="48" t="s">
        <v>229</v>
      </c>
      <c r="F43" s="48"/>
      <c r="G43" s="48"/>
      <c r="H43" s="48"/>
      <c r="I43" s="48" t="s">
        <v>31</v>
      </c>
      <c r="J43" s="48" t="s">
        <v>134</v>
      </c>
      <c r="K43" s="48"/>
      <c r="L43" s="48">
        <v>9212106162</v>
      </c>
      <c r="M43" s="48"/>
      <c r="N43" s="35"/>
      <c r="O43" s="35"/>
      <c r="P43" s="35"/>
      <c r="Q43" s="35"/>
      <c r="R43" s="48"/>
      <c r="S43" s="48"/>
      <c r="T43" s="48"/>
      <c r="U43" s="48"/>
      <c r="V43" s="45"/>
      <c r="W43" s="45"/>
      <c r="X43" s="35"/>
    </row>
    <row r="44" spans="1:24" ht="18" x14ac:dyDescent="0.2">
      <c r="A44" s="36"/>
      <c r="B44" s="36" t="s">
        <v>189</v>
      </c>
      <c r="C44" s="36"/>
      <c r="D44" s="57" t="s">
        <v>349</v>
      </c>
      <c r="E44" s="57" t="s">
        <v>350</v>
      </c>
      <c r="F44" s="57" t="s">
        <v>145</v>
      </c>
      <c r="G44" s="57" t="s">
        <v>351</v>
      </c>
      <c r="H44" s="58" t="s">
        <v>352</v>
      </c>
      <c r="I44" s="57" t="s">
        <v>194</v>
      </c>
      <c r="J44" s="57" t="s">
        <v>137</v>
      </c>
      <c r="K44" s="36"/>
      <c r="L44" s="36">
        <v>9904880202</v>
      </c>
      <c r="M44" s="59" t="s">
        <v>353</v>
      </c>
      <c r="N44" s="36"/>
      <c r="O44" s="36"/>
      <c r="P44" s="36"/>
      <c r="Q44" s="36"/>
      <c r="R44" s="36"/>
      <c r="S44" s="36"/>
      <c r="T44" s="36"/>
      <c r="U44" s="36"/>
      <c r="V44" s="61">
        <v>46165</v>
      </c>
      <c r="W44" s="36"/>
      <c r="X44" s="36"/>
    </row>
    <row r="45" spans="1:24" ht="20" customHeight="1" x14ac:dyDescent="0.2">
      <c r="A45" s="37"/>
      <c r="B45" s="37" t="s">
        <v>189</v>
      </c>
      <c r="C45" s="37"/>
      <c r="D45" s="60" t="s">
        <v>354</v>
      </c>
      <c r="E45" s="60" t="s">
        <v>355</v>
      </c>
      <c r="F45" s="60" t="s">
        <v>145</v>
      </c>
      <c r="G45" s="59" t="s">
        <v>356</v>
      </c>
      <c r="H45" s="60" t="s">
        <v>357</v>
      </c>
      <c r="I45" s="60" t="s">
        <v>31</v>
      </c>
      <c r="J45" s="60" t="s">
        <v>137</v>
      </c>
      <c r="K45" s="37"/>
      <c r="L45" s="37">
        <v>9824920570</v>
      </c>
      <c r="M45" s="59" t="s">
        <v>358</v>
      </c>
      <c r="N45" s="37"/>
      <c r="O45" s="37"/>
      <c r="P45" s="37"/>
      <c r="Q45" s="37"/>
      <c r="R45" s="37"/>
      <c r="S45" s="37"/>
      <c r="T45" s="37"/>
      <c r="U45" s="37"/>
      <c r="V45" s="62">
        <v>46165</v>
      </c>
      <c r="X45" s="37"/>
    </row>
    <row r="46" spans="1:24" ht="20" customHeight="1" x14ac:dyDescent="0.2">
      <c r="A46" s="36"/>
      <c r="B46" s="37" t="s">
        <v>189</v>
      </c>
      <c r="C46" s="36"/>
      <c r="D46" s="57" t="s">
        <v>359</v>
      </c>
      <c r="E46" s="57" t="s">
        <v>367</v>
      </c>
      <c r="F46" s="57" t="s">
        <v>369</v>
      </c>
      <c r="G46" s="57" t="s">
        <v>377</v>
      </c>
      <c r="H46" s="57" t="s">
        <v>339</v>
      </c>
      <c r="I46" s="36"/>
      <c r="J46" s="57" t="s">
        <v>130</v>
      </c>
      <c r="K46" s="36"/>
      <c r="L46" s="36">
        <v>9752414636</v>
      </c>
      <c r="M46" s="59" t="s">
        <v>380</v>
      </c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</row>
    <row r="47" spans="1:24" ht="20" customHeight="1" x14ac:dyDescent="0.2">
      <c r="A47" s="37"/>
      <c r="B47" s="37" t="s">
        <v>189</v>
      </c>
      <c r="C47" s="37"/>
      <c r="D47" s="57" t="s">
        <v>360</v>
      </c>
      <c r="E47" s="60" t="s">
        <v>368</v>
      </c>
      <c r="F47" s="57" t="s">
        <v>376</v>
      </c>
      <c r="G47" s="60" t="s">
        <v>378</v>
      </c>
      <c r="H47" s="60" t="s">
        <v>379</v>
      </c>
      <c r="I47" s="37"/>
      <c r="J47" s="60" t="s">
        <v>130</v>
      </c>
      <c r="K47" s="37"/>
      <c r="L47" s="37">
        <v>9414169321</v>
      </c>
      <c r="M47" s="59" t="s">
        <v>381</v>
      </c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</row>
    <row r="48" spans="1:24" ht="20" customHeight="1" x14ac:dyDescent="0.2">
      <c r="A48" s="36"/>
      <c r="B48" s="37" t="s">
        <v>189</v>
      </c>
      <c r="C48" s="36"/>
      <c r="D48" s="57" t="s">
        <v>361</v>
      </c>
      <c r="E48" s="57" t="s">
        <v>384</v>
      </c>
      <c r="F48" s="57" t="s">
        <v>291</v>
      </c>
      <c r="G48" s="57" t="s">
        <v>382</v>
      </c>
      <c r="H48" s="57" t="s">
        <v>372</v>
      </c>
      <c r="I48" s="57" t="s">
        <v>371</v>
      </c>
      <c r="J48" s="57" t="s">
        <v>370</v>
      </c>
      <c r="K48" s="36"/>
      <c r="L48" s="36">
        <v>9971129001</v>
      </c>
      <c r="M48" s="59" t="s">
        <v>383</v>
      </c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</row>
    <row r="49" spans="1:24" ht="20" customHeight="1" x14ac:dyDescent="0.2">
      <c r="A49" s="37"/>
      <c r="B49" s="37" t="s">
        <v>189</v>
      </c>
      <c r="C49" s="37"/>
      <c r="D49" s="57" t="s">
        <v>362</v>
      </c>
      <c r="E49" s="60" t="s">
        <v>373</v>
      </c>
      <c r="F49" s="60" t="s">
        <v>369</v>
      </c>
      <c r="G49" s="60" t="s">
        <v>374</v>
      </c>
      <c r="H49" s="60" t="s">
        <v>375</v>
      </c>
      <c r="I49" s="60" t="s">
        <v>31</v>
      </c>
      <c r="J49" s="60" t="s">
        <v>134</v>
      </c>
      <c r="K49" s="37"/>
      <c r="L49" s="37">
        <v>9727038833</v>
      </c>
      <c r="M49" s="59" t="s">
        <v>385</v>
      </c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</row>
    <row r="50" spans="1:24" ht="20" customHeight="1" x14ac:dyDescent="0.2">
      <c r="A50" s="36"/>
      <c r="B50" s="36"/>
      <c r="C50" s="36"/>
      <c r="D50" s="57" t="s">
        <v>363</v>
      </c>
      <c r="E50" s="57" t="s">
        <v>386</v>
      </c>
      <c r="F50" s="57" t="s">
        <v>387</v>
      </c>
      <c r="G50" s="57" t="s">
        <v>388</v>
      </c>
      <c r="H50" s="57" t="s">
        <v>389</v>
      </c>
      <c r="I50" s="57" t="s">
        <v>31</v>
      </c>
      <c r="J50" s="57" t="s">
        <v>390</v>
      </c>
      <c r="K50" s="36"/>
      <c r="L50" s="36">
        <v>9974051380</v>
      </c>
      <c r="M50" s="59" t="s">
        <v>391</v>
      </c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</row>
    <row r="51" spans="1:24" ht="20" customHeight="1" x14ac:dyDescent="0.2">
      <c r="A51" s="37"/>
      <c r="B51" s="37"/>
      <c r="C51" s="37"/>
      <c r="D51" s="57" t="s">
        <v>364</v>
      </c>
      <c r="E51" s="60" t="s">
        <v>393</v>
      </c>
      <c r="F51" s="60" t="s">
        <v>369</v>
      </c>
      <c r="G51" s="37"/>
      <c r="H51" s="37"/>
      <c r="I51" s="37"/>
      <c r="J51" s="60" t="s">
        <v>403</v>
      </c>
      <c r="K51" s="37"/>
      <c r="L51" s="37">
        <v>9039920073</v>
      </c>
      <c r="M51" s="59" t="s">
        <v>392</v>
      </c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20" customHeight="1" x14ac:dyDescent="0.2">
      <c r="A52" s="36"/>
      <c r="B52" s="36"/>
      <c r="C52" s="36"/>
      <c r="D52" s="57" t="s">
        <v>365</v>
      </c>
      <c r="E52" s="57" t="s">
        <v>395</v>
      </c>
      <c r="F52" s="60" t="s">
        <v>369</v>
      </c>
      <c r="G52" s="36"/>
      <c r="H52" s="36"/>
      <c r="I52" s="36"/>
      <c r="J52" s="60" t="s">
        <v>403</v>
      </c>
      <c r="K52" s="36"/>
      <c r="L52" s="36">
        <v>7600015319</v>
      </c>
      <c r="M52" s="59" t="s">
        <v>394</v>
      </c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</row>
    <row r="53" spans="1:24" ht="20" customHeight="1" x14ac:dyDescent="0.2">
      <c r="A53" s="37"/>
      <c r="B53" s="37"/>
      <c r="C53" s="37"/>
      <c r="D53" s="57" t="s">
        <v>366</v>
      </c>
      <c r="E53" s="60" t="s">
        <v>402</v>
      </c>
      <c r="F53" s="60" t="s">
        <v>369</v>
      </c>
      <c r="G53" s="37"/>
      <c r="H53" s="37"/>
      <c r="I53" s="37"/>
      <c r="J53" s="60" t="s">
        <v>403</v>
      </c>
      <c r="K53" s="37"/>
      <c r="L53" s="37">
        <v>9875147422</v>
      </c>
      <c r="M53" s="59" t="s">
        <v>401</v>
      </c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</row>
    <row r="54" spans="1:24" ht="20" customHeight="1" x14ac:dyDescent="0.2">
      <c r="A54" s="36"/>
      <c r="B54" s="36"/>
      <c r="C54" s="36"/>
      <c r="D54" s="57" t="s">
        <v>396</v>
      </c>
      <c r="E54" s="57" t="s">
        <v>399</v>
      </c>
      <c r="F54" s="60" t="s">
        <v>369</v>
      </c>
      <c r="G54" s="36"/>
      <c r="H54" s="36"/>
      <c r="I54" s="57" t="s">
        <v>31</v>
      </c>
      <c r="J54" s="60" t="s">
        <v>403</v>
      </c>
      <c r="K54" s="36"/>
      <c r="L54" s="36">
        <v>8401098493</v>
      </c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</row>
    <row r="55" spans="1:24" ht="20" customHeight="1" x14ac:dyDescent="0.2">
      <c r="A55" s="37"/>
      <c r="B55" s="37"/>
      <c r="C55" s="37"/>
      <c r="D55" s="57" t="s">
        <v>397</v>
      </c>
      <c r="E55" s="60" t="s">
        <v>400</v>
      </c>
      <c r="F55" s="60" t="s">
        <v>369</v>
      </c>
      <c r="G55" s="37"/>
      <c r="H55" s="37"/>
      <c r="I55" s="37"/>
      <c r="J55" s="60" t="s">
        <v>403</v>
      </c>
      <c r="K55" s="37"/>
      <c r="L55" s="37">
        <v>8469394959</v>
      </c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</row>
    <row r="56" spans="1:24" ht="20" customHeight="1" x14ac:dyDescent="0.2">
      <c r="A56" s="36"/>
      <c r="B56" s="36"/>
      <c r="C56" s="36"/>
      <c r="D56" s="57" t="s">
        <v>398</v>
      </c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</row>
    <row r="57" spans="1:24" ht="20" customHeight="1" x14ac:dyDescent="0.2">
      <c r="A57" s="37"/>
      <c r="B57" s="37"/>
      <c r="C57" s="37"/>
      <c r="D57" s="57" t="s">
        <v>404</v>
      </c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</row>
    <row r="58" spans="1:24" ht="20" customHeight="1" x14ac:dyDescent="0.2">
      <c r="A58" s="36"/>
      <c r="B58" s="36"/>
      <c r="C58" s="36"/>
      <c r="D58" s="57" t="s">
        <v>405</v>
      </c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</row>
    <row r="59" spans="1:24" ht="20" customHeight="1" x14ac:dyDescent="0.2">
      <c r="A59" s="37"/>
      <c r="B59" s="37"/>
      <c r="C59" s="37"/>
      <c r="D59" s="57" t="s">
        <v>406</v>
      </c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</row>
    <row r="60" spans="1:24" ht="20" customHeight="1" x14ac:dyDescent="0.2">
      <c r="A60" s="36"/>
      <c r="B60" s="36"/>
      <c r="C60" s="36"/>
      <c r="D60" s="57" t="s">
        <v>407</v>
      </c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</row>
    <row r="61" spans="1:24" ht="20" customHeight="1" x14ac:dyDescent="0.2">
      <c r="A61" s="37"/>
      <c r="B61" s="37"/>
      <c r="C61" s="37"/>
      <c r="D61" s="57" t="s">
        <v>408</v>
      </c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</row>
    <row r="62" spans="1:24" ht="20" customHeight="1" x14ac:dyDescent="0.2">
      <c r="A62" s="36"/>
      <c r="B62" s="36"/>
      <c r="C62" s="36"/>
      <c r="D62" s="57" t="s">
        <v>409</v>
      </c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</row>
    <row r="63" spans="1:24" ht="20" customHeight="1" x14ac:dyDescent="0.2">
      <c r="A63" s="37"/>
      <c r="B63" s="37"/>
      <c r="C63" s="37"/>
      <c r="D63" s="57" t="s">
        <v>410</v>
      </c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</row>
    <row r="64" spans="1:24" ht="20" customHeight="1" x14ac:dyDescent="0.2">
      <c r="A64" s="36"/>
      <c r="B64" s="36"/>
      <c r="C64" s="36"/>
      <c r="D64" s="57" t="s">
        <v>411</v>
      </c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</row>
    <row r="65" spans="1:24" ht="20" customHeight="1" x14ac:dyDescent="0.2">
      <c r="A65" s="37"/>
      <c r="B65" s="37"/>
      <c r="C65" s="37"/>
      <c r="D65" s="57" t="s">
        <v>412</v>
      </c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</row>
    <row r="66" spans="1:24" ht="20" customHeight="1" x14ac:dyDescent="0.2">
      <c r="A66" s="36"/>
      <c r="B66" s="36"/>
      <c r="C66" s="36"/>
      <c r="D66" s="57" t="s">
        <v>413</v>
      </c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</row>
    <row r="67" spans="1:24" ht="20" customHeight="1" x14ac:dyDescent="0.2">
      <c r="A67" s="37"/>
      <c r="B67" s="37"/>
      <c r="C67" s="37"/>
      <c r="D67" s="57" t="s">
        <v>414</v>
      </c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</row>
    <row r="68" spans="1:24" ht="20" customHeight="1" x14ac:dyDescent="0.2">
      <c r="A68" s="36"/>
      <c r="B68" s="36"/>
      <c r="C68" s="36"/>
      <c r="D68" s="57" t="s">
        <v>415</v>
      </c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</row>
    <row r="69" spans="1:24" ht="20" customHeight="1" x14ac:dyDescent="0.2">
      <c r="A69" s="37"/>
      <c r="B69" s="37"/>
      <c r="C69" s="37"/>
      <c r="D69" s="57" t="s">
        <v>416</v>
      </c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</row>
    <row r="70" spans="1:24" ht="20" customHeight="1" x14ac:dyDescent="0.2">
      <c r="A70" s="36"/>
      <c r="B70" s="36"/>
      <c r="C70" s="36"/>
      <c r="D70" s="57" t="s">
        <v>417</v>
      </c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</row>
    <row r="71" spans="1:24" ht="20" customHeight="1" x14ac:dyDescent="0.2">
      <c r="A71" s="37"/>
      <c r="B71" s="37"/>
      <c r="C71" s="37"/>
      <c r="D71" s="57" t="s">
        <v>418</v>
      </c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20" customHeight="1" x14ac:dyDescent="0.2">
      <c r="A72" s="36"/>
      <c r="B72" s="36"/>
      <c r="C72" s="36"/>
      <c r="D72" s="57" t="s">
        <v>419</v>
      </c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</row>
    <row r="73" spans="1:24" ht="20" customHeight="1" x14ac:dyDescent="0.2">
      <c r="A73" s="37"/>
      <c r="B73" s="37"/>
      <c r="C73" s="37"/>
      <c r="D73" s="57" t="s">
        <v>420</v>
      </c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</row>
    <row r="74" spans="1:24" ht="20" customHeight="1" x14ac:dyDescent="0.2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</row>
    <row r="75" spans="1:24" ht="20" customHeight="1" x14ac:dyDescent="0.2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20" customHeight="1" x14ac:dyDescent="0.2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</row>
    <row r="77" spans="1:24" ht="20" customHeight="1" x14ac:dyDescent="0.2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</row>
    <row r="78" spans="1:24" ht="20" customHeight="1" x14ac:dyDescent="0.2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</row>
    <row r="79" spans="1:24" ht="20" customHeight="1" x14ac:dyDescent="0.2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</row>
    <row r="80" spans="1:24" ht="20" customHeight="1" x14ac:dyDescent="0.2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</row>
    <row r="81" spans="1:24" ht="20" customHeight="1" x14ac:dyDescent="0.2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</row>
    <row r="82" spans="1:24" ht="20" customHeight="1" x14ac:dyDescent="0.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</row>
    <row r="83" spans="1:24" ht="20" customHeight="1" x14ac:dyDescent="0.2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</row>
    <row r="84" spans="1:24" ht="20" customHeight="1" x14ac:dyDescent="0.2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</row>
    <row r="85" spans="1:24" ht="20" customHeight="1" x14ac:dyDescent="0.2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</row>
    <row r="86" spans="1:24" ht="20" customHeight="1" x14ac:dyDescent="0.2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</row>
    <row r="87" spans="1:24" ht="20" customHeight="1" x14ac:dyDescent="0.2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</row>
    <row r="88" spans="1:24" ht="20" customHeight="1" x14ac:dyDescent="0.2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</row>
    <row r="89" spans="1:24" ht="20" customHeight="1" x14ac:dyDescent="0.2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</row>
    <row r="90" spans="1:24" ht="20" customHeight="1" x14ac:dyDescent="0.2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</row>
    <row r="91" spans="1:24" ht="20" customHeight="1" x14ac:dyDescent="0.2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</row>
    <row r="92" spans="1:24" ht="20" customHeight="1" x14ac:dyDescent="0.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</row>
    <row r="93" spans="1:24" ht="20" customHeight="1" x14ac:dyDescent="0.2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</row>
    <row r="94" spans="1:24" ht="20" customHeight="1" x14ac:dyDescent="0.2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</row>
    <row r="95" spans="1:24" ht="20" customHeight="1" x14ac:dyDescent="0.2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</row>
    <row r="96" spans="1:24" ht="20" customHeight="1" x14ac:dyDescent="0.2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</row>
    <row r="97" spans="1:24" ht="20" customHeight="1" x14ac:dyDescent="0.2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</row>
    <row r="98" spans="1:24" ht="20" customHeight="1" x14ac:dyDescent="0.2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</row>
    <row r="99" spans="1:24" ht="20" customHeight="1" x14ac:dyDescent="0.2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</row>
    <row r="100" spans="1:24" ht="20" customHeight="1" x14ac:dyDescent="0.2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</row>
    <row r="101" spans="1:24" ht="20" customHeight="1" x14ac:dyDescent="0.2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</row>
    <row r="102" spans="1:24" ht="20" customHeight="1" x14ac:dyDescent="0.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</row>
    <row r="103" spans="1:24" ht="20" customHeight="1" x14ac:dyDescent="0.2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</row>
    <row r="104" spans="1:24" ht="20" customHeight="1" x14ac:dyDescent="0.2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</row>
    <row r="105" spans="1:24" ht="20" customHeight="1" x14ac:dyDescent="0.2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</row>
    <row r="106" spans="1:24" ht="20" customHeight="1" x14ac:dyDescent="0.2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</row>
    <row r="107" spans="1:24" ht="20" customHeight="1" x14ac:dyDescent="0.2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</row>
    <row r="108" spans="1:24" ht="20" customHeight="1" x14ac:dyDescent="0.2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</row>
    <row r="109" spans="1:24" ht="20" customHeight="1" x14ac:dyDescent="0.2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</row>
    <row r="110" spans="1:24" ht="20" customHeight="1" x14ac:dyDescent="0.2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</row>
    <row r="111" spans="1:24" ht="20" customHeight="1" x14ac:dyDescent="0.2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</row>
    <row r="112" spans="1:24" ht="20" customHeight="1" x14ac:dyDescent="0.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</row>
    <row r="113" spans="1:24" ht="20" customHeight="1" x14ac:dyDescent="0.2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</row>
    <row r="114" spans="1:24" ht="20" customHeight="1" x14ac:dyDescent="0.2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</row>
    <row r="115" spans="1:24" ht="20" customHeight="1" x14ac:dyDescent="0.2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</row>
    <row r="116" spans="1:24" ht="20" customHeight="1" x14ac:dyDescent="0.2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</row>
    <row r="117" spans="1:24" ht="20" customHeight="1" x14ac:dyDescent="0.2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</row>
    <row r="118" spans="1:24" ht="20" customHeight="1" x14ac:dyDescent="0.2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</row>
    <row r="119" spans="1:24" ht="20" customHeight="1" x14ac:dyDescent="0.2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</row>
    <row r="120" spans="1:24" ht="20" customHeight="1" x14ac:dyDescent="0.2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</row>
    <row r="121" spans="1:24" ht="20" customHeight="1" x14ac:dyDescent="0.2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</row>
    <row r="122" spans="1:24" ht="20" customHeight="1" x14ac:dyDescent="0.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</row>
    <row r="123" spans="1:24" ht="20" customHeight="1" x14ac:dyDescent="0.2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</row>
    <row r="124" spans="1:24" ht="20" customHeight="1" x14ac:dyDescent="0.2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</row>
    <row r="125" spans="1:24" ht="20" customHeight="1" x14ac:dyDescent="0.2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</row>
    <row r="126" spans="1:24" ht="20" customHeight="1" x14ac:dyDescent="0.2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</row>
    <row r="127" spans="1:24" ht="20" customHeight="1" x14ac:dyDescent="0.2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</row>
    <row r="128" spans="1:24" ht="20" customHeight="1" x14ac:dyDescent="0.2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</row>
    <row r="129" spans="1:24" ht="20" customHeight="1" x14ac:dyDescent="0.2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</row>
    <row r="130" spans="1:24" ht="20" customHeight="1" x14ac:dyDescent="0.2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</row>
    <row r="131" spans="1:24" ht="20" customHeight="1" x14ac:dyDescent="0.2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</row>
    <row r="132" spans="1:24" ht="20" customHeight="1" x14ac:dyDescent="0.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</row>
    <row r="133" spans="1:24" ht="20" customHeight="1" x14ac:dyDescent="0.2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</row>
    <row r="134" spans="1:24" ht="20" customHeight="1" x14ac:dyDescent="0.2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</row>
    <row r="135" spans="1:24" ht="20" customHeight="1" x14ac:dyDescent="0.2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</row>
    <row r="136" spans="1:24" ht="20" customHeight="1" x14ac:dyDescent="0.2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</row>
    <row r="137" spans="1:24" ht="20" customHeight="1" x14ac:dyDescent="0.2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</row>
    <row r="138" spans="1:24" ht="20" customHeight="1" x14ac:dyDescent="0.2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</row>
    <row r="139" spans="1:24" ht="20" customHeight="1" x14ac:dyDescent="0.2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</row>
    <row r="140" spans="1:24" ht="20" customHeight="1" x14ac:dyDescent="0.2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</row>
    <row r="141" spans="1:24" ht="20" customHeight="1" x14ac:dyDescent="0.2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</row>
    <row r="142" spans="1:24" ht="20" customHeight="1" x14ac:dyDescent="0.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</row>
    <row r="143" spans="1:24" ht="20" customHeight="1" x14ac:dyDescent="0.2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</row>
    <row r="144" spans="1:24" ht="20" customHeight="1" x14ac:dyDescent="0.2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</row>
    <row r="145" spans="1:24" ht="20" customHeight="1" x14ac:dyDescent="0.2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</row>
    <row r="146" spans="1:24" ht="20" customHeight="1" x14ac:dyDescent="0.2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</row>
    <row r="147" spans="1:24" ht="20" customHeight="1" x14ac:dyDescent="0.2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</row>
    <row r="148" spans="1:24" ht="20" customHeight="1" x14ac:dyDescent="0.2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</row>
    <row r="149" spans="1:24" ht="20" customHeight="1" x14ac:dyDescent="0.2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</row>
    <row r="150" spans="1:24" ht="20" customHeight="1" x14ac:dyDescent="0.2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</row>
    <row r="151" spans="1:24" ht="20" customHeight="1" x14ac:dyDescent="0.2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</row>
    <row r="152" spans="1:24" ht="20" customHeight="1" x14ac:dyDescent="0.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</row>
    <row r="153" spans="1:24" ht="20" customHeight="1" x14ac:dyDescent="0.2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</row>
    <row r="154" spans="1:24" ht="20" customHeight="1" x14ac:dyDescent="0.2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</row>
    <row r="155" spans="1:24" ht="20" customHeight="1" x14ac:dyDescent="0.2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</row>
    <row r="156" spans="1:24" ht="20" customHeight="1" x14ac:dyDescent="0.2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</row>
    <row r="157" spans="1:24" ht="20" customHeight="1" x14ac:dyDescent="0.2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</row>
    <row r="158" spans="1:24" ht="20" customHeight="1" x14ac:dyDescent="0.2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</row>
    <row r="159" spans="1:24" ht="20" customHeight="1" x14ac:dyDescent="0.2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</row>
    <row r="160" spans="1:24" ht="20" customHeight="1" x14ac:dyDescent="0.2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</row>
    <row r="161" spans="1:24" ht="20" customHeight="1" x14ac:dyDescent="0.2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</row>
    <row r="162" spans="1:24" ht="20" customHeight="1" x14ac:dyDescent="0.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</row>
    <row r="163" spans="1:24" ht="20" customHeight="1" x14ac:dyDescent="0.2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</row>
    <row r="164" spans="1:24" ht="20" customHeight="1" x14ac:dyDescent="0.2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</row>
    <row r="165" spans="1:24" ht="20" customHeight="1" x14ac:dyDescent="0.2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</row>
    <row r="166" spans="1:24" ht="20" customHeight="1" x14ac:dyDescent="0.2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</row>
    <row r="167" spans="1:24" ht="20" customHeight="1" x14ac:dyDescent="0.2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</row>
    <row r="168" spans="1:24" ht="20" customHeight="1" x14ac:dyDescent="0.2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</row>
    <row r="169" spans="1:24" ht="20" customHeight="1" x14ac:dyDescent="0.2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</row>
    <row r="170" spans="1:24" ht="20" customHeight="1" x14ac:dyDescent="0.2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</row>
    <row r="171" spans="1:24" ht="20" customHeight="1" x14ac:dyDescent="0.2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</row>
    <row r="172" spans="1:24" ht="20" customHeight="1" x14ac:dyDescent="0.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</row>
    <row r="173" spans="1:24" ht="20" customHeight="1" x14ac:dyDescent="0.2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</row>
    <row r="174" spans="1:24" ht="20" customHeight="1" x14ac:dyDescent="0.2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</row>
    <row r="175" spans="1:24" ht="20" customHeight="1" x14ac:dyDescent="0.2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</row>
    <row r="176" spans="1:24" ht="20" customHeight="1" x14ac:dyDescent="0.2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</row>
    <row r="177" spans="1:24" ht="20" customHeight="1" x14ac:dyDescent="0.2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</row>
    <row r="178" spans="1:24" ht="20" customHeight="1" x14ac:dyDescent="0.2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</row>
    <row r="179" spans="1:24" ht="20" customHeight="1" x14ac:dyDescent="0.2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</row>
    <row r="180" spans="1:24" ht="20" customHeight="1" x14ac:dyDescent="0.2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</row>
    <row r="181" spans="1:24" ht="20" customHeight="1" x14ac:dyDescent="0.2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</row>
    <row r="182" spans="1:24" ht="20" customHeight="1" x14ac:dyDescent="0.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</row>
    <row r="183" spans="1:24" ht="20" customHeight="1" x14ac:dyDescent="0.2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</row>
    <row r="184" spans="1:24" ht="20" customHeight="1" x14ac:dyDescent="0.2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</row>
    <row r="185" spans="1:24" ht="20" customHeight="1" x14ac:dyDescent="0.2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</row>
    <row r="186" spans="1:24" ht="20" customHeight="1" x14ac:dyDescent="0.2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</row>
    <row r="187" spans="1:24" ht="20" customHeight="1" x14ac:dyDescent="0.2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</row>
    <row r="188" spans="1:24" ht="20" customHeight="1" x14ac:dyDescent="0.2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</row>
    <row r="189" spans="1:24" ht="20" customHeight="1" x14ac:dyDescent="0.2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</row>
    <row r="190" spans="1:24" ht="20" customHeight="1" x14ac:dyDescent="0.2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</row>
    <row r="191" spans="1:24" ht="20" customHeight="1" x14ac:dyDescent="0.2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</row>
    <row r="192" spans="1:24" ht="20" customHeight="1" x14ac:dyDescent="0.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</row>
    <row r="193" spans="1:24" ht="20" customHeight="1" x14ac:dyDescent="0.2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</row>
    <row r="194" spans="1:24" ht="20" customHeight="1" x14ac:dyDescent="0.2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</row>
    <row r="195" spans="1:24" ht="20" customHeight="1" x14ac:dyDescent="0.2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</row>
    <row r="196" spans="1:24" ht="20" customHeight="1" x14ac:dyDescent="0.2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</row>
    <row r="197" spans="1:24" ht="20" customHeight="1" x14ac:dyDescent="0.2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</row>
    <row r="198" spans="1:24" ht="20" customHeight="1" x14ac:dyDescent="0.2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</row>
    <row r="199" spans="1:24" ht="20" customHeight="1" x14ac:dyDescent="0.2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</row>
    <row r="200" spans="1:24" ht="20" customHeight="1" x14ac:dyDescent="0.2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</row>
    <row r="201" spans="1:24" ht="20" customHeight="1" x14ac:dyDescent="0.2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</row>
    <row r="202" spans="1:24" ht="20" customHeight="1" x14ac:dyDescent="0.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</row>
    <row r="203" spans="1:24" ht="20" customHeight="1" x14ac:dyDescent="0.2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</row>
    <row r="204" spans="1:24" ht="20" customHeight="1" x14ac:dyDescent="0.2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</row>
    <row r="205" spans="1:24" ht="20" customHeight="1" x14ac:dyDescent="0.2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</row>
    <row r="206" spans="1:24" ht="20" customHeight="1" x14ac:dyDescent="0.2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</row>
    <row r="207" spans="1:24" ht="20" customHeight="1" x14ac:dyDescent="0.2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</row>
    <row r="208" spans="1:24" ht="20" customHeight="1" x14ac:dyDescent="0.2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</row>
    <row r="209" spans="1:24" ht="20" customHeight="1" x14ac:dyDescent="0.2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</row>
    <row r="210" spans="1:24" x14ac:dyDescent="0.2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</row>
    <row r="211" spans="1:24" x14ac:dyDescent="0.2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</row>
    <row r="212" spans="1:24" x14ac:dyDescent="0.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</row>
    <row r="213" spans="1:24" x14ac:dyDescent="0.2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</row>
    <row r="214" spans="1:24" x14ac:dyDescent="0.2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</row>
    <row r="215" spans="1:24" x14ac:dyDescent="0.2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</row>
    <row r="216" spans="1:24" x14ac:dyDescent="0.2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</row>
    <row r="217" spans="1:24" x14ac:dyDescent="0.2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</row>
    <row r="218" spans="1:24" x14ac:dyDescent="0.2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</row>
    <row r="219" spans="1:24" x14ac:dyDescent="0.2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</row>
    <row r="220" spans="1:24" x14ac:dyDescent="0.2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</row>
    <row r="221" spans="1:24" x14ac:dyDescent="0.2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</row>
  </sheetData>
  <autoFilter ref="A2:X206" xr:uid="{00000000-0009-0000-0000-000000000000}"/>
  <mergeCells count="1">
    <mergeCell ref="A1:X1"/>
  </mergeCells>
  <phoneticPr fontId="35" type="noConversion"/>
  <conditionalFormatting sqref="A3:X43 A44:G44 I44:L44 N44:X44 A45:F45 H45:L45 N45:V45 X45 A46:L51 N46:X53 K52:L53 A52:J55 K54:X55 A56:X210">
    <cfRule type="expression" dxfId="3" priority="1">
      <formula>AND($T3&lt;TODAY(),$U3&lt;&gt;"Done",$T3&lt;&gt;"")</formula>
    </cfRule>
    <cfRule type="expression" dxfId="2" priority="2">
      <formula>$R3="High"</formula>
    </cfRule>
  </conditionalFormatting>
  <dataValidations count="5">
    <dataValidation type="list" allowBlank="1" showInputMessage="1" showErrorMessage="1" promptTitle="Meeting Status" sqref="B3:B210" xr:uid="{00000000-0002-0000-0000-000000000000}">
      <formula1>"Scheduled,Completed,Cancelled,Rescheduled,Not Set"</formula1>
    </dataValidation>
    <dataValidation type="list" allowBlank="1" showInputMessage="1" showErrorMessage="1" promptTitle="Meeting Type" sqref="C3:C210" xr:uid="{00000000-0002-0000-0000-000001000000}">
      <formula1>"Call,Zoom,In-person,Email,Offline"</formula1>
    </dataValidation>
    <dataValidation type="list" allowBlank="1" showInputMessage="1" showErrorMessage="1" promptTitle="Interest Level" sqref="R3:R210" xr:uid="{00000000-0002-0000-0000-000002000000}">
      <formula1>"High,Medium,Low"</formula1>
    </dataValidation>
    <dataValidation type="list" allowBlank="1" showInputMessage="1" showErrorMessage="1" promptTitle="Relationship Status" sqref="S3:S210" xr:uid="{00000000-0002-0000-0000-000003000000}">
      <formula1>"New,Engaged,Warm,Converted,Closed"</formula1>
    </dataValidation>
    <dataValidation type="list" allowBlank="1" showInputMessage="1" showErrorMessage="1" promptTitle="Follow-up Status" sqref="U3:U210" xr:uid="{00000000-0002-0000-0000-000004000000}">
      <formula1>"Pending,Done,Delayed"</formula1>
    </dataValidation>
  </dataValidations>
  <hyperlinks>
    <hyperlink ref="M3" r:id="rId1" xr:uid="{00000000-0004-0000-0000-000000000000}"/>
    <hyperlink ref="M6" r:id="rId2" xr:uid="{00000000-0004-0000-0000-000001000000}"/>
    <hyperlink ref="M7" r:id="rId3" xr:uid="{00000000-0004-0000-0000-000002000000}"/>
    <hyperlink ref="M8" r:id="rId4" xr:uid="{00000000-0004-0000-0000-000003000000}"/>
    <hyperlink ref="M9" r:id="rId5" xr:uid="{00000000-0004-0000-0000-000004000000}"/>
    <hyperlink ref="M22" r:id="rId6" xr:uid="{00000000-0004-0000-0000-000005000000}"/>
    <hyperlink ref="M23" r:id="rId7" xr:uid="{00000000-0004-0000-0000-000006000000}"/>
    <hyperlink ref="M44" r:id="rId8" display="https://www.linkedin.com/in/fransha/" xr:uid="{6E56F555-1E7B-B941-B42C-2E6F1CEE9FAF}"/>
    <hyperlink ref="G45" r:id="rId9" display="https://www.linkedin.com/company/837860/" xr:uid="{628A7801-ADA8-F743-95CA-DAA92F2AA5DD}"/>
    <hyperlink ref="M45" r:id="rId10" display="https://www.linkedin.com/in/dhara-agarwal-2a00251a/" xr:uid="{A6CB9AAB-3898-9A41-BAE3-D2A9F8E62954}"/>
    <hyperlink ref="M46" r:id="rId11" display="https://www.linkedin.com/in/vibhuti-mahajan-857277239/" xr:uid="{61A1C8BD-F819-F64A-8A4E-A6A27E07683D}"/>
    <hyperlink ref="M47" r:id="rId12" display="https://www.linkedin.com/in/shefali-paliwal-a203154b/" xr:uid="{8798D450-E858-6A46-A901-1A42AF512CF0}"/>
    <hyperlink ref="M48" r:id="rId13" display="https://www.linkedin.com/in/bakshigaurav/" xr:uid="{3BB496D1-6604-3B40-A8CF-12F4A865D0A7}"/>
    <hyperlink ref="M49" r:id="rId14" display="https://www.linkedin.com/in/bhavesh-vyas/" xr:uid="{49F5BA89-60C9-8C4C-9B24-3E489078E833}"/>
    <hyperlink ref="M50" r:id="rId15" display="https://www.linkedin.com/in/birju-trivedi-495a905/" xr:uid="{8B34E6E0-67C4-154D-B2C4-3D5563814FB4}"/>
    <hyperlink ref="M51" r:id="rId16" display="https://www.linkedin.com/in/fora-shrotriya-337997184/" xr:uid="{B63623E9-2EDF-B742-9A47-393FD0CD8E49}"/>
    <hyperlink ref="M52" r:id="rId17" display="https://www.linkedin.com/in/denisha-patel-mehta-48045b34/" xr:uid="{D8726EE7-A117-7D4A-A3D1-FBDD7A403B74}"/>
    <hyperlink ref="M53" r:id="rId18" display="https://www.linkedin.com/in/aniruddh-barad-063a3a183/" xr:uid="{F4F7F80F-6D03-1C46-8B5C-A2C7579B67C1}"/>
  </hyperlinks>
  <pageMargins left="0.75" right="0.75" top="1" bottom="1" header="0.5" footer="0.5"/>
  <pageSetup orientation="portrait"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A1:M12"/>
  <sheetViews>
    <sheetView workbookViewId="0">
      <pane xSplit="1" ySplit="3" topLeftCell="B4" activePane="bottomRight" state="frozen"/>
      <selection pane="topRight"/>
      <selection pane="bottomLeft"/>
      <selection pane="bottomRight" activeCell="F14" sqref="F14"/>
    </sheetView>
  </sheetViews>
  <sheetFormatPr baseColWidth="10" defaultColWidth="8.83203125" defaultRowHeight="15" x14ac:dyDescent="0.2"/>
  <cols>
    <col min="1" max="1" width="11.83203125" customWidth="1"/>
    <col min="2" max="2" width="22" customWidth="1"/>
    <col min="3" max="3" width="26" customWidth="1"/>
    <col min="4" max="4" width="24" customWidth="1"/>
    <col min="5" max="5" width="22" customWidth="1"/>
    <col min="6" max="6" width="24" customWidth="1"/>
    <col min="7" max="7" width="22" customWidth="1"/>
    <col min="8" max="10" width="18" customWidth="1"/>
    <col min="11" max="11" width="16" customWidth="1"/>
    <col min="12" max="12" width="24" customWidth="1"/>
    <col min="13" max="13" width="30" customWidth="1"/>
  </cols>
  <sheetData>
    <row r="1" spans="1:13" ht="32" customHeight="1" x14ac:dyDescent="0.2">
      <c r="A1" s="66" t="s">
        <v>230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</row>
    <row r="2" spans="1:13" ht="22" customHeight="1" x14ac:dyDescent="0.2">
      <c r="A2" s="65" t="s">
        <v>231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</row>
    <row r="3" spans="1:13" ht="36" customHeight="1" x14ac:dyDescent="0.2">
      <c r="A3" s="11" t="s">
        <v>232</v>
      </c>
      <c r="B3" s="11" t="s">
        <v>233</v>
      </c>
      <c r="C3" s="11" t="s">
        <v>6</v>
      </c>
      <c r="D3" s="11" t="s">
        <v>234</v>
      </c>
      <c r="E3" s="11" t="s">
        <v>235</v>
      </c>
      <c r="F3" s="11" t="s">
        <v>236</v>
      </c>
      <c r="G3" s="11" t="s">
        <v>237</v>
      </c>
      <c r="H3" s="11" t="s">
        <v>238</v>
      </c>
      <c r="I3" s="11" t="s">
        <v>239</v>
      </c>
      <c r="J3" s="11" t="s">
        <v>240</v>
      </c>
      <c r="K3" s="11" t="s">
        <v>241</v>
      </c>
      <c r="L3" s="11" t="s">
        <v>242</v>
      </c>
      <c r="M3" s="11" t="s">
        <v>243</v>
      </c>
    </row>
    <row r="4" spans="1:13" ht="26.5" customHeight="1" x14ac:dyDescent="0.2">
      <c r="A4" s="11" t="s">
        <v>244</v>
      </c>
      <c r="B4" s="12" t="s">
        <v>82</v>
      </c>
      <c r="C4" s="13" t="s">
        <v>245</v>
      </c>
      <c r="D4" s="13" t="s">
        <v>246</v>
      </c>
      <c r="E4" s="13" t="s">
        <v>247</v>
      </c>
      <c r="F4" s="13" t="s">
        <v>248</v>
      </c>
      <c r="G4" s="13" t="s">
        <v>249</v>
      </c>
      <c r="H4" s="14" t="s">
        <v>250</v>
      </c>
      <c r="I4" s="15"/>
      <c r="J4" s="16" t="s">
        <v>35</v>
      </c>
      <c r="K4" s="17" t="s">
        <v>251</v>
      </c>
      <c r="L4" s="13"/>
      <c r="M4" s="13" t="s">
        <v>252</v>
      </c>
    </row>
    <row r="5" spans="1:13" ht="26.5" customHeight="1" x14ac:dyDescent="0.2">
      <c r="A5" s="11" t="s">
        <v>253</v>
      </c>
      <c r="B5" s="18" t="s">
        <v>254</v>
      </c>
      <c r="C5" s="19" t="s">
        <v>255</v>
      </c>
      <c r="D5" s="19" t="s">
        <v>256</v>
      </c>
      <c r="E5" s="19" t="s">
        <v>257</v>
      </c>
      <c r="F5" s="19" t="s">
        <v>258</v>
      </c>
      <c r="G5" s="19" t="s">
        <v>55</v>
      </c>
      <c r="H5" s="20" t="s">
        <v>51</v>
      </c>
      <c r="I5" s="21"/>
      <c r="J5" s="22" t="s">
        <v>60</v>
      </c>
      <c r="K5" s="22" t="s">
        <v>259</v>
      </c>
      <c r="L5" s="19" t="s">
        <v>260</v>
      </c>
      <c r="M5" s="19" t="s">
        <v>261</v>
      </c>
    </row>
    <row r="6" spans="1:13" ht="39.5" customHeight="1" x14ac:dyDescent="0.2">
      <c r="A6" s="11" t="s">
        <v>262</v>
      </c>
      <c r="B6" s="12" t="s">
        <v>263</v>
      </c>
      <c r="C6" s="13" t="s">
        <v>264</v>
      </c>
      <c r="D6" s="13" t="s">
        <v>265</v>
      </c>
      <c r="E6" s="13" t="s">
        <v>266</v>
      </c>
      <c r="F6" s="13" t="s">
        <v>267</v>
      </c>
      <c r="G6" s="13" t="s">
        <v>249</v>
      </c>
      <c r="H6" s="14" t="s">
        <v>268</v>
      </c>
      <c r="I6" s="15"/>
      <c r="J6" s="23" t="s">
        <v>269</v>
      </c>
      <c r="K6" s="24" t="s">
        <v>270</v>
      </c>
      <c r="L6" s="13"/>
      <c r="M6" s="13" t="s">
        <v>271</v>
      </c>
    </row>
    <row r="7" spans="1:13" ht="26.5" customHeight="1" x14ac:dyDescent="0.2">
      <c r="A7" s="11" t="s">
        <v>272</v>
      </c>
      <c r="B7" s="18" t="s">
        <v>53</v>
      </c>
      <c r="C7" s="19" t="s">
        <v>273</v>
      </c>
      <c r="D7" s="19" t="s">
        <v>55</v>
      </c>
      <c r="E7" s="19" t="s">
        <v>274</v>
      </c>
      <c r="F7" s="19" t="s">
        <v>275</v>
      </c>
      <c r="G7" s="19" t="s">
        <v>87</v>
      </c>
      <c r="H7" s="20" t="s">
        <v>276</v>
      </c>
      <c r="I7" s="21"/>
      <c r="J7" s="22" t="s">
        <v>60</v>
      </c>
      <c r="K7" s="22" t="s">
        <v>259</v>
      </c>
      <c r="L7" s="19" t="s">
        <v>90</v>
      </c>
      <c r="M7" s="19" t="s">
        <v>277</v>
      </c>
    </row>
    <row r="8" spans="1:13" ht="22" customHeight="1" x14ac:dyDescent="0.2">
      <c r="A8" s="28" t="s">
        <v>278</v>
      </c>
      <c r="B8" s="28" t="s">
        <v>279</v>
      </c>
      <c r="C8" s="28"/>
      <c r="D8" s="28"/>
      <c r="E8" s="28" t="s">
        <v>265</v>
      </c>
      <c r="F8" s="28"/>
      <c r="G8" s="28"/>
      <c r="H8" s="28"/>
      <c r="I8" s="29"/>
      <c r="J8" s="28" t="s">
        <v>280</v>
      </c>
      <c r="K8" s="28" t="s">
        <v>251</v>
      </c>
      <c r="L8" s="13"/>
      <c r="M8" s="13"/>
    </row>
    <row r="9" spans="1:13" ht="22" customHeight="1" x14ac:dyDescent="0.2">
      <c r="A9" s="30" t="s">
        <v>281</v>
      </c>
      <c r="B9" s="30" t="s">
        <v>226</v>
      </c>
      <c r="C9" s="30"/>
      <c r="D9" s="30"/>
      <c r="E9" s="30" t="s">
        <v>265</v>
      </c>
      <c r="F9" s="30"/>
      <c r="G9" s="30"/>
      <c r="H9" s="30"/>
      <c r="I9" s="31"/>
      <c r="J9" s="30" t="s">
        <v>280</v>
      </c>
      <c r="K9" s="30" t="s">
        <v>251</v>
      </c>
      <c r="L9" s="19"/>
      <c r="M9" s="19"/>
    </row>
    <row r="10" spans="1:13" ht="22" customHeight="1" x14ac:dyDescent="0.2">
      <c r="A10" s="11" t="s">
        <v>282</v>
      </c>
      <c r="B10" s="12"/>
      <c r="C10" s="13"/>
      <c r="D10" s="13"/>
      <c r="E10" s="13"/>
      <c r="F10" s="13"/>
      <c r="G10" s="13"/>
      <c r="H10" s="14"/>
      <c r="I10" s="15"/>
      <c r="J10" s="25" t="s">
        <v>280</v>
      </c>
      <c r="K10" s="17" t="s">
        <v>251</v>
      </c>
      <c r="L10" s="13"/>
      <c r="M10" s="13"/>
    </row>
    <row r="12" spans="1:13" ht="18" customHeight="1" x14ac:dyDescent="0.2">
      <c r="A12" s="67" t="s">
        <v>283</v>
      </c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</row>
  </sheetData>
  <mergeCells count="3">
    <mergeCell ref="A2:M2"/>
    <mergeCell ref="A1:M1"/>
    <mergeCell ref="A12:M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86AB"/>
  </sheetPr>
  <dimension ref="A1:H4"/>
  <sheetViews>
    <sheetView showGridLines="0" workbookViewId="0">
      <pane ySplit="2" topLeftCell="A3" activePane="bottomLeft" state="frozen"/>
      <selection pane="bottomLeft" activeCell="C8" sqref="C8"/>
    </sheetView>
  </sheetViews>
  <sheetFormatPr baseColWidth="10" defaultColWidth="8.6640625" defaultRowHeight="15" x14ac:dyDescent="0.2"/>
  <cols>
    <col min="1" max="1" width="14" customWidth="1"/>
    <col min="2" max="2" width="16" customWidth="1"/>
    <col min="3" max="3" width="50" customWidth="1"/>
    <col min="4" max="4" width="28" customWidth="1"/>
    <col min="5" max="6" width="35" customWidth="1"/>
    <col min="7" max="7" width="18" customWidth="1"/>
    <col min="8" max="8" width="16" customWidth="1"/>
  </cols>
  <sheetData>
    <row r="1" spans="1:8" ht="39.75" customHeight="1" x14ac:dyDescent="0.2">
      <c r="A1" s="68" t="s">
        <v>284</v>
      </c>
      <c r="B1" s="64"/>
      <c r="C1" s="64"/>
      <c r="D1" s="64"/>
      <c r="E1" s="64"/>
      <c r="F1" s="64"/>
      <c r="G1" s="64"/>
      <c r="H1" s="64"/>
    </row>
    <row r="2" spans="1:8" ht="21.75" customHeight="1" x14ac:dyDescent="0.2">
      <c r="A2" s="6" t="s">
        <v>285</v>
      </c>
      <c r="B2" s="6" t="s">
        <v>286</v>
      </c>
      <c r="C2" s="6" t="s">
        <v>287</v>
      </c>
      <c r="D2" s="6" t="s">
        <v>288</v>
      </c>
      <c r="E2" s="6" t="s">
        <v>289</v>
      </c>
      <c r="F2" s="6" t="s">
        <v>290</v>
      </c>
      <c r="G2" s="6" t="s">
        <v>291</v>
      </c>
      <c r="H2" s="6" t="s">
        <v>292</v>
      </c>
    </row>
    <row r="3" spans="1:8" ht="60" customHeight="1" x14ac:dyDescent="0.2">
      <c r="A3" s="7" t="s">
        <v>26</v>
      </c>
      <c r="B3" s="26">
        <v>45672</v>
      </c>
      <c r="C3" s="7" t="s">
        <v>293</v>
      </c>
      <c r="D3" s="9" t="s">
        <v>294</v>
      </c>
      <c r="E3" s="7" t="s">
        <v>295</v>
      </c>
      <c r="F3" s="7" t="s">
        <v>296</v>
      </c>
      <c r="G3" s="7" t="s">
        <v>297</v>
      </c>
      <c r="H3" s="26">
        <v>45689</v>
      </c>
    </row>
    <row r="4" spans="1:8" ht="60" customHeight="1" x14ac:dyDescent="0.2">
      <c r="A4" s="8" t="s">
        <v>37</v>
      </c>
      <c r="B4" s="27">
        <v>45677</v>
      </c>
      <c r="C4" s="8" t="s">
        <v>298</v>
      </c>
      <c r="D4" s="10" t="s">
        <v>299</v>
      </c>
      <c r="E4" s="8" t="s">
        <v>300</v>
      </c>
      <c r="F4" s="8" t="s">
        <v>301</v>
      </c>
      <c r="G4" s="8" t="s">
        <v>297</v>
      </c>
      <c r="H4" s="27">
        <v>45693</v>
      </c>
    </row>
  </sheetData>
  <autoFilter ref="A2:H4" xr:uid="{00000000-0009-0000-0000-000002000000}"/>
  <mergeCells count="1">
    <mergeCell ref="A1:H1"/>
  </mergeCells>
  <dataValidations count="2">
    <dataValidation type="date" allowBlank="1" showInputMessage="1" showErrorMessage="1" promptTitle="Meeting Date" sqref="B3:B1000" xr:uid="{00000000-0002-0000-0200-000000000000}">
      <formula1>0</formula1>
      <formula2>0</formula2>
    </dataValidation>
    <dataValidation type="date" allowBlank="1" showInputMessage="1" showErrorMessage="1" promptTitle="Deadline" sqref="H3:H1000" xr:uid="{00000000-0002-0000-0200-000001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17A65"/>
  </sheetPr>
  <dimension ref="A1:F7"/>
  <sheetViews>
    <sheetView showGridLines="0" workbookViewId="0">
      <pane ySplit="2" topLeftCell="A3" activePane="bottomLeft" state="frozen"/>
      <selection pane="bottomLeft" activeCell="C5" sqref="C5"/>
    </sheetView>
  </sheetViews>
  <sheetFormatPr baseColWidth="10" defaultColWidth="8.6640625" defaultRowHeight="15" x14ac:dyDescent="0.2"/>
  <cols>
    <col min="1" max="1" width="14" customWidth="1"/>
    <col min="2" max="2" width="22" customWidth="1"/>
    <col min="3" max="3" width="26" customWidth="1"/>
    <col min="4" max="4" width="40" customWidth="1"/>
    <col min="5" max="5" width="14" customWidth="1"/>
    <col min="6" max="6" width="30" customWidth="1"/>
  </cols>
  <sheetData>
    <row r="1" spans="1:6" ht="39.75" customHeight="1" x14ac:dyDescent="0.2">
      <c r="A1" s="68" t="s">
        <v>302</v>
      </c>
      <c r="B1" s="64"/>
      <c r="C1" s="64"/>
      <c r="D1" s="64"/>
      <c r="E1" s="64"/>
      <c r="F1" s="64"/>
    </row>
    <row r="2" spans="1:6" ht="21.75" customHeight="1" x14ac:dyDescent="0.2">
      <c r="A2" s="6" t="s">
        <v>285</v>
      </c>
      <c r="B2" s="6" t="s">
        <v>7</v>
      </c>
      <c r="C2" s="6" t="s">
        <v>303</v>
      </c>
      <c r="D2" s="6" t="s">
        <v>304</v>
      </c>
      <c r="E2" s="6" t="s">
        <v>305</v>
      </c>
      <c r="F2" s="6" t="s">
        <v>306</v>
      </c>
    </row>
    <row r="3" spans="1:6" ht="39.75" customHeight="1" x14ac:dyDescent="0.2">
      <c r="A3" s="7" t="s">
        <v>26</v>
      </c>
      <c r="B3" s="7" t="s">
        <v>307</v>
      </c>
      <c r="C3" s="7" t="s">
        <v>308</v>
      </c>
      <c r="D3" s="7" t="s">
        <v>309</v>
      </c>
      <c r="E3" s="7" t="s">
        <v>33</v>
      </c>
      <c r="F3" s="7" t="s">
        <v>310</v>
      </c>
    </row>
    <row r="4" spans="1:6" ht="39.75" customHeight="1" x14ac:dyDescent="0.2">
      <c r="A4" s="8" t="s">
        <v>37</v>
      </c>
      <c r="B4" s="8" t="s">
        <v>311</v>
      </c>
      <c r="C4" s="8" t="s">
        <v>308</v>
      </c>
      <c r="D4" s="8" t="s">
        <v>312</v>
      </c>
      <c r="E4" s="8" t="s">
        <v>33</v>
      </c>
      <c r="F4" s="8" t="s">
        <v>313</v>
      </c>
    </row>
    <row r="5" spans="1:6" ht="39.75" customHeight="1" x14ac:dyDescent="0.2">
      <c r="A5" s="7" t="s">
        <v>46</v>
      </c>
      <c r="B5" s="7" t="s">
        <v>314</v>
      </c>
      <c r="C5" s="7" t="s">
        <v>315</v>
      </c>
      <c r="D5" s="7" t="s">
        <v>316</v>
      </c>
      <c r="E5" s="7" t="s">
        <v>45</v>
      </c>
      <c r="F5" s="7" t="s">
        <v>317</v>
      </c>
    </row>
    <row r="6" spans="1:6" ht="39.75" customHeight="1" x14ac:dyDescent="0.2">
      <c r="A6" s="8" t="s">
        <v>52</v>
      </c>
      <c r="B6" s="8" t="s">
        <v>318</v>
      </c>
      <c r="C6" s="8" t="s">
        <v>319</v>
      </c>
      <c r="D6" s="8" t="s">
        <v>320</v>
      </c>
      <c r="E6" s="8" t="s">
        <v>33</v>
      </c>
      <c r="F6" s="8" t="s">
        <v>321</v>
      </c>
    </row>
    <row r="7" spans="1:6" ht="39.75" customHeight="1" x14ac:dyDescent="0.2">
      <c r="A7" s="7" t="s">
        <v>62</v>
      </c>
      <c r="B7" s="7" t="s">
        <v>322</v>
      </c>
      <c r="C7" s="7" t="s">
        <v>323</v>
      </c>
      <c r="D7" s="7" t="s">
        <v>324</v>
      </c>
      <c r="E7" s="7" t="s">
        <v>45</v>
      </c>
      <c r="F7" s="7" t="s">
        <v>325</v>
      </c>
    </row>
  </sheetData>
  <autoFilter ref="A2:F7" xr:uid="{00000000-0009-0000-0000-000003000000}"/>
  <mergeCells count="1">
    <mergeCell ref="A1:F1"/>
  </mergeCells>
  <conditionalFormatting sqref="A3:F1000">
    <cfRule type="expression" dxfId="1" priority="2">
      <formula>$E3="High"</formula>
    </cfRule>
    <cfRule type="expression" dxfId="0" priority="3">
      <formula>$E3="Medium"</formula>
    </cfRule>
  </conditionalFormatting>
  <dataValidations count="2">
    <dataValidation type="list" allowBlank="1" showInputMessage="1" showErrorMessage="1" promptTitle="Feedback Category" sqref="C3:C1000" xr:uid="{00000000-0002-0000-0300-000000000000}">
      <formula1>"Hiring Challenges,Skill Gaps,Campus Hiring,AI Adoption,Budget Constraints,L&amp;D Strategy,Attrition,Compliance,DEI,Other"</formula1>
    </dataValidation>
    <dataValidation type="list" allowBlank="1" showInputMessage="1" showErrorMessage="1" promptTitle="Priority" sqref="E3:E1000" xr:uid="{00000000-0002-0000-0300-000001000000}">
      <formula1>"High,Medium,Low"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74C3C"/>
  </sheetPr>
  <dimension ref="A1:L54"/>
  <sheetViews>
    <sheetView showGridLines="0" workbookViewId="0">
      <selection activeCell="D4" sqref="D4:E4"/>
    </sheetView>
  </sheetViews>
  <sheetFormatPr baseColWidth="10" defaultColWidth="8.6640625" defaultRowHeight="15" x14ac:dyDescent="0.2"/>
  <cols>
    <col min="1" max="12" width="14" customWidth="1"/>
  </cols>
  <sheetData>
    <row r="1" spans="1:12" ht="45" customHeight="1" x14ac:dyDescent="0.2">
      <c r="A1" s="73" t="s">
        <v>326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3" spans="1:12" ht="21.75" customHeight="1" x14ac:dyDescent="0.2">
      <c r="A3" s="76" t="s">
        <v>327</v>
      </c>
      <c r="B3" s="71"/>
      <c r="D3" s="75" t="s">
        <v>328</v>
      </c>
      <c r="E3" s="71"/>
      <c r="G3" s="77" t="s">
        <v>329</v>
      </c>
      <c r="H3" s="71"/>
      <c r="J3" s="70" t="s">
        <v>330</v>
      </c>
      <c r="K3" s="71"/>
    </row>
    <row r="4" spans="1:12" ht="39.75" customHeight="1" x14ac:dyDescent="0.2">
      <c r="A4" s="78">
        <f>COUNTA('Contact Tracker'!A3:A1000)</f>
        <v>19</v>
      </c>
      <c r="B4" s="71"/>
      <c r="D4" s="74">
        <f ca="1">COUNTIFS('Contact Tracker'!T3:T1000,"&lt;="&amp;TODAY(),'Contact Tracker'!U3:U1000,"Pending")</f>
        <v>12</v>
      </c>
      <c r="E4" s="71"/>
      <c r="G4" s="79">
        <f>COUNTIF('Contact Tracker'!R3:R1000,"High")</f>
        <v>11</v>
      </c>
      <c r="H4" s="71"/>
      <c r="J4" s="72">
        <f>COUNTIF('Contact Tracker'!S3:S1000,"Converted")</f>
        <v>0</v>
      </c>
      <c r="K4" s="71"/>
    </row>
    <row r="8" spans="1:12" ht="21.75" customHeight="1" x14ac:dyDescent="0.2">
      <c r="A8" s="1" t="s">
        <v>8</v>
      </c>
      <c r="B8" s="1" t="s">
        <v>331</v>
      </c>
      <c r="D8" s="1" t="s">
        <v>332</v>
      </c>
      <c r="E8" s="1" t="s">
        <v>331</v>
      </c>
      <c r="G8" s="1" t="s">
        <v>303</v>
      </c>
      <c r="H8" s="1" t="s">
        <v>331</v>
      </c>
    </row>
    <row r="9" spans="1:12" ht="15" customHeight="1" x14ac:dyDescent="0.2">
      <c r="A9" s="2" t="s">
        <v>333</v>
      </c>
      <c r="B9" s="3">
        <f>COUNTIF('Contact Tracker'!G3:G1000,"IT/Technology")</f>
        <v>0</v>
      </c>
      <c r="D9" s="2" t="s">
        <v>34</v>
      </c>
      <c r="E9" s="3">
        <f>COUNTIF('Contact Tracker'!S3:S1000,"New")</f>
        <v>14</v>
      </c>
      <c r="G9" s="2" t="s">
        <v>323</v>
      </c>
      <c r="H9" s="3">
        <f>COUNTIF('Feedback Categorization'!C3:C1000,"Hiring Challenges")</f>
        <v>1</v>
      </c>
    </row>
    <row r="10" spans="1:12" ht="15" customHeight="1" x14ac:dyDescent="0.2">
      <c r="A10" s="4" t="s">
        <v>334</v>
      </c>
      <c r="B10" s="5">
        <f>COUNTIF('Contact Tracker'!G3:G1000,"Manufacturing")</f>
        <v>0</v>
      </c>
      <c r="D10" s="4" t="s">
        <v>335</v>
      </c>
      <c r="E10" s="5">
        <f>COUNTIF('Contact Tracker'!S3:S1000,"Engaged")</f>
        <v>0</v>
      </c>
      <c r="G10" s="4" t="s">
        <v>308</v>
      </c>
      <c r="H10" s="5">
        <f>COUNTIF('Feedback Categorization'!C3:C1000,"Skill Gaps")</f>
        <v>2</v>
      </c>
    </row>
    <row r="11" spans="1:12" ht="15" customHeight="1" x14ac:dyDescent="0.2">
      <c r="A11" s="2" t="s">
        <v>336</v>
      </c>
      <c r="B11" s="3">
        <f>COUNTIF('Contact Tracker'!G3:G1000,"BFSI")</f>
        <v>0</v>
      </c>
      <c r="D11" s="2" t="s">
        <v>337</v>
      </c>
      <c r="E11" s="3">
        <f>COUNTIF('Contact Tracker'!S3:S1000,"Warm")</f>
        <v>0</v>
      </c>
      <c r="G11" s="2" t="s">
        <v>338</v>
      </c>
      <c r="H11" s="3">
        <f>COUNTIF('Feedback Categorization'!C3:C1000,"Campus Hiring")</f>
        <v>0</v>
      </c>
    </row>
    <row r="12" spans="1:12" ht="15" customHeight="1" x14ac:dyDescent="0.2">
      <c r="A12" s="4" t="s">
        <v>339</v>
      </c>
      <c r="B12" s="5">
        <f>COUNTIF('Contact Tracker'!G3:G1000,"Automotive")</f>
        <v>0</v>
      </c>
      <c r="D12" s="4" t="s">
        <v>340</v>
      </c>
      <c r="E12" s="5">
        <f>COUNTIF('Contact Tracker'!S3:S1000,"Converted")</f>
        <v>0</v>
      </c>
      <c r="G12" s="4" t="s">
        <v>319</v>
      </c>
      <c r="H12" s="5">
        <f>COUNTIF('Feedback Categorization'!C3:C1000,"AI Adoption")</f>
        <v>1</v>
      </c>
    </row>
    <row r="13" spans="1:12" ht="15" customHeight="1" x14ac:dyDescent="0.2">
      <c r="A13" s="2" t="s">
        <v>41</v>
      </c>
      <c r="B13" s="3">
        <f>COUNTIF('Contact Tracker'!G3:G1000,"Pharma")</f>
        <v>0</v>
      </c>
      <c r="D13" s="2" t="s">
        <v>341</v>
      </c>
      <c r="E13" s="3">
        <f>COUNTIF('Contact Tracker'!S3:S1000,"Closed")</f>
        <v>0</v>
      </c>
      <c r="G13" s="2" t="s">
        <v>315</v>
      </c>
      <c r="H13" s="3">
        <f>COUNTIF('Feedback Categorization'!C3:C1000,"Budget Constraints")</f>
        <v>1</v>
      </c>
    </row>
    <row r="14" spans="1:12" ht="15" customHeight="1" x14ac:dyDescent="0.2">
      <c r="A14" s="4" t="s">
        <v>342</v>
      </c>
      <c r="B14" s="5">
        <f>COUNTIF('Contact Tracker'!G3:G1000,"FMCG")</f>
        <v>0</v>
      </c>
      <c r="G14" s="4" t="s">
        <v>343</v>
      </c>
      <c r="H14" s="5">
        <f>COUNTIF('Feedback Categorization'!C3:C1000,"L&amp;D Strategy")</f>
        <v>0</v>
      </c>
    </row>
    <row r="15" spans="1:12" ht="15" customHeight="1" x14ac:dyDescent="0.2">
      <c r="A15" s="2" t="s">
        <v>344</v>
      </c>
      <c r="B15" s="3">
        <f>COUNTIF('Contact Tracker'!G3:G1000,"Retail")</f>
        <v>0</v>
      </c>
      <c r="G15" s="2" t="s">
        <v>345</v>
      </c>
      <c r="H15" s="3">
        <f>COUNTIF('Feedback Categorization'!C3:C1000,"Attrition")</f>
        <v>0</v>
      </c>
    </row>
    <row r="16" spans="1:12" ht="15" customHeight="1" x14ac:dyDescent="0.2">
      <c r="A16" s="4" t="s">
        <v>346</v>
      </c>
      <c r="B16" s="5">
        <f>COUNTIF('Contact Tracker'!G3:G1000,"Other")</f>
        <v>0</v>
      </c>
      <c r="G16" s="4" t="s">
        <v>346</v>
      </c>
      <c r="H16" s="5">
        <f>COUNTIF('Feedback Categorization'!C3:C1000,"Other")</f>
        <v>0</v>
      </c>
    </row>
    <row r="54" spans="1:12" ht="15" customHeight="1" x14ac:dyDescent="0.2">
      <c r="A54" s="69" t="s">
        <v>347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</row>
  </sheetData>
  <mergeCells count="10">
    <mergeCell ref="A54:L54"/>
    <mergeCell ref="J3:K3"/>
    <mergeCell ref="J4:K4"/>
    <mergeCell ref="A1:L1"/>
    <mergeCell ref="D4:E4"/>
    <mergeCell ref="D3:E3"/>
    <mergeCell ref="A3:B3"/>
    <mergeCell ref="G3:H3"/>
    <mergeCell ref="A4:B4"/>
    <mergeCell ref="G4:H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ColWidth="11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Contact Tracker</vt:lpstr>
      <vt:lpstr>Network Bridge</vt:lpstr>
      <vt:lpstr>MOM Repository</vt:lpstr>
      <vt:lpstr>Feedback Categorization</vt:lpstr>
      <vt:lpstr>Dashboard</vt:lpstr>
      <vt:lpstr>Targets to Networks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Mirat Soni</cp:lastModifiedBy>
  <cp:revision>2</cp:revision>
  <dcterms:created xsi:type="dcterms:W3CDTF">2026-05-03T22:12:00Z</dcterms:created>
  <dcterms:modified xsi:type="dcterms:W3CDTF">2026-06-13T07:06:57Z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FB629F4C3572F7CEC3D2F9690B276400_42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